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175" documentId="8_{9E84565E-D753-46E7-8516-5F768F05A7B8}" xr6:coauthVersionLast="47" xr6:coauthVersionMax="47" xr10:uidLastSave="{E08BBA54-22F1-4CC1-AD16-9C0C96F2D8CC}"/>
  <bookViews>
    <workbookView xWindow="67080" yWindow="-120" windowWidth="29040" windowHeight="15720" firstSheet="1" activeTab="1" xr2:uid="{FBEE0547-C1DD-4B7A-A3EB-2BA1446463BC}"/>
  </bookViews>
  <sheets>
    <sheet name="Home" sheetId="29" r:id="rId1"/>
    <sheet name="Product Form" sheetId="2" r:id="rId2"/>
    <sheet name="Database &amp; Calc" sheetId="25" r:id="rId3"/>
    <sheet name="Reports" sheetId="31" r:id="rId4"/>
  </sheets>
  <definedNames>
    <definedName name="_xlnm._FilterDatabase" localSheetId="0" hidden="1">Home!#REF!</definedName>
    <definedName name="_xlnm._FilterDatabase" localSheetId="1" hidden="1">'Product Form'!$G$5:$H$5</definedName>
    <definedName name="clients" localSheetId="2">ProductData[Product '#]</definedName>
    <definedName name="clients" localSheetId="0">ProductData[Product '#]</definedName>
    <definedName name="clients">ProductData[Product '#]</definedName>
    <definedName name="_xlnm.Print_Area" localSheetId="1">'Product Form'!$A$1:$AB$50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2" l="1"/>
  <c r="U6" i="25"/>
  <c r="T6" i="25"/>
  <c r="Q6" i="25"/>
  <c r="P6" i="25"/>
  <c r="H12" i="2" a="1"/>
  <c r="H12" i="2" s="1"/>
  <c r="P7" i="25"/>
  <c r="T7" i="25" s="1"/>
  <c r="U7" i="25" s="1"/>
  <c r="P12" i="25"/>
  <c r="T12" i="25" s="1"/>
  <c r="U12" i="25" s="1"/>
  <c r="P21" i="25"/>
  <c r="Q21" i="25" s="1"/>
  <c r="P20" i="25"/>
  <c r="T20" i="25" s="1"/>
  <c r="U20" i="25" s="1"/>
  <c r="P8" i="25"/>
  <c r="Q8" i="25" s="1"/>
  <c r="P9" i="25"/>
  <c r="Q9" i="25" s="1"/>
  <c r="P10" i="25"/>
  <c r="Q10" i="25" s="1"/>
  <c r="P11" i="25"/>
  <c r="T11" i="25" s="1"/>
  <c r="P13" i="25"/>
  <c r="Q13" i="25" s="1"/>
  <c r="P14" i="25"/>
  <c r="T14" i="25" s="1"/>
  <c r="P15" i="25"/>
  <c r="T15" i="25" s="1"/>
  <c r="P16" i="25"/>
  <c r="T16" i="25" s="1"/>
  <c r="P17" i="25"/>
  <c r="T17" i="25" s="1"/>
  <c r="P18" i="25"/>
  <c r="Q18" i="25" s="1"/>
  <c r="P19" i="25"/>
  <c r="Q19" i="25" s="1"/>
  <c r="P5" i="25"/>
  <c r="T5" i="25" s="1"/>
  <c r="U5" i="25" s="1"/>
  <c r="U20" i="2" a="1"/>
  <c r="U20" i="2" s="1"/>
  <c r="R20" i="2" a="1"/>
  <c r="R20" i="2" s="1"/>
  <c r="AH7" i="25"/>
  <c r="K35" i="2" s="1"/>
  <c r="X5" i="25" a="1"/>
  <c r="X5" i="25" s="1"/>
  <c r="AH6" i="25"/>
  <c r="K33" i="2" s="1"/>
  <c r="X20" i="2" a="1"/>
  <c r="X20" i="2" s="1"/>
  <c r="AA20" i="2" a="1"/>
  <c r="AA20" i="2" s="1"/>
  <c r="V7" i="2"/>
  <c r="Q7" i="25" l="1"/>
  <c r="Q12" i="25"/>
  <c r="T21" i="25"/>
  <c r="U21" i="25" s="1"/>
  <c r="T10" i="25"/>
  <c r="U10" i="25" s="1"/>
  <c r="Q11" i="25"/>
  <c r="T13" i="25"/>
  <c r="U13" i="25" s="1"/>
  <c r="Q20" i="25"/>
  <c r="Q17" i="25"/>
  <c r="T19" i="25"/>
  <c r="U19" i="25" s="1"/>
  <c r="Q16" i="25"/>
  <c r="T18" i="25"/>
  <c r="U18" i="25" s="1"/>
  <c r="Q15" i="25"/>
  <c r="T9" i="25"/>
  <c r="U9" i="25" s="1"/>
  <c r="T8" i="25"/>
  <c r="U8" i="25" s="1"/>
  <c r="Q14" i="25"/>
  <c r="AF27" i="2"/>
  <c r="AF26" i="2"/>
  <c r="AF25" i="2"/>
  <c r="U17" i="25"/>
  <c r="U14" i="25"/>
  <c r="U11" i="25"/>
  <c r="U16" i="25"/>
  <c r="U15" i="25"/>
  <c r="Q5" i="25"/>
  <c r="E9" i="31" l="1" a="1"/>
  <c r="E9" i="31" s="1"/>
  <c r="AH8" i="25"/>
  <c r="K37" i="2" s="1"/>
  <c r="AH4"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<sst xmlns="http://schemas.openxmlformats.org/spreadsheetml/2006/main" count="611" uniqueCount="207">
  <si>
    <t>Home - Simply an Inventory Record</t>
  </si>
  <si>
    <t>Product Data Form</t>
  </si>
  <si>
    <t xml:space="preserve">                Prouct Details</t>
  </si>
  <si>
    <t xml:space="preserve">                 Recipts, Issues and Adjustments</t>
  </si>
  <si>
    <t>Product #</t>
  </si>
  <si>
    <t>Type</t>
  </si>
  <si>
    <t>Qty</t>
  </si>
  <si>
    <t>Date</t>
  </si>
  <si>
    <t>Description</t>
  </si>
  <si>
    <t>Purchase Ord.</t>
  </si>
  <si>
    <t>UoM</t>
  </si>
  <si>
    <t>Category</t>
  </si>
  <si>
    <t>Notes</t>
  </si>
  <si>
    <t>EAN</t>
  </si>
  <si>
    <t>Procurement</t>
  </si>
  <si>
    <t>Supplier</t>
  </si>
  <si>
    <t>Unit Price</t>
  </si>
  <si>
    <t>Last Purchased</t>
  </si>
  <si>
    <t>Inventory</t>
  </si>
  <si>
    <t>PO</t>
  </si>
  <si>
    <t>Qty on Hand</t>
  </si>
  <si>
    <t>Stock Value</t>
  </si>
  <si>
    <t>Stock Location</t>
  </si>
  <si>
    <t>Reorder Point</t>
  </si>
  <si>
    <t>Qty to Order</t>
  </si>
  <si>
    <t>Issue</t>
  </si>
  <si>
    <t>Receipt</t>
  </si>
  <si>
    <t>Adjustment</t>
  </si>
  <si>
    <t xml:space="preserve">                KPI's</t>
  </si>
  <si>
    <t>Number of Products</t>
  </si>
  <si>
    <t>Total Items in Stock</t>
  </si>
  <si>
    <t>Total Stock Value</t>
  </si>
  <si>
    <t>Data Storage</t>
  </si>
  <si>
    <t>Products</t>
  </si>
  <si>
    <t>Search</t>
  </si>
  <si>
    <t>Stock Movements</t>
  </si>
  <si>
    <t>Only Change these Tables</t>
  </si>
  <si>
    <t>Deleted</t>
  </si>
  <si>
    <t>Reorder Qty</t>
  </si>
  <si>
    <t>PO Commitement</t>
  </si>
  <si>
    <t>Next ID</t>
  </si>
  <si>
    <t>AB179524</t>
  </si>
  <si>
    <t>Galvanized Nail 50 mm</t>
  </si>
  <si>
    <t>EA</t>
  </si>
  <si>
    <t>Fixings</t>
  </si>
  <si>
    <t>ProBuild Hardware Co.</t>
  </si>
  <si>
    <t>BB03</t>
  </si>
  <si>
    <t>GH725940</t>
  </si>
  <si>
    <t>Correction entry</t>
  </si>
  <si>
    <t>AlphaTech Metal Products</t>
  </si>
  <si>
    <t>Flat iron and bar Stock</t>
  </si>
  <si>
    <t>BX</t>
  </si>
  <si>
    <t>Box</t>
  </si>
  <si>
    <t>AB194875</t>
  </si>
  <si>
    <t>Copper Pipe Clamp ½ inch</t>
  </si>
  <si>
    <t>M</t>
  </si>
  <si>
    <t>Pipe</t>
  </si>
  <si>
    <t>BB07</t>
  </si>
  <si>
    <t>Store horizontally, no more than 2 high</t>
  </si>
  <si>
    <t>LM307618</t>
  </si>
  <si>
    <t>Customer order issue</t>
  </si>
  <si>
    <t>All Products</t>
  </si>
  <si>
    <t>Apex Building Solutions</t>
  </si>
  <si>
    <t>General building products, non specialist</t>
  </si>
  <si>
    <t>CM</t>
  </si>
  <si>
    <t>Centimeter</t>
  </si>
  <si>
    <t>Metals</t>
  </si>
  <si>
    <t>BA806491</t>
  </si>
  <si>
    <t>Plastic End Cap 20 mm</t>
  </si>
  <si>
    <t>AU21</t>
  </si>
  <si>
    <t>FR508639</t>
  </si>
  <si>
    <t>PO429593</t>
  </si>
  <si>
    <t>System update</t>
  </si>
  <si>
    <t>Total Products</t>
  </si>
  <si>
    <t>ElectraFix Supplies</t>
  </si>
  <si>
    <t>Electricals</t>
  </si>
  <si>
    <t>COIL</t>
  </si>
  <si>
    <t>Coil (wire, metal, etc.)</t>
  </si>
  <si>
    <t>Misc</t>
  </si>
  <si>
    <t>CT920541</t>
  </si>
  <si>
    <t>Brass Hex Nut M10</t>
  </si>
  <si>
    <t>CB03</t>
  </si>
  <si>
    <t>YZ541763</t>
  </si>
  <si>
    <t>Total Stk Val</t>
  </si>
  <si>
    <t>Specialist building products</t>
  </si>
  <si>
    <t>CS</t>
  </si>
  <si>
    <t>Case</t>
  </si>
  <si>
    <t>Rubber O-Ring 20 mm ID</t>
  </si>
  <si>
    <t>Seals</t>
  </si>
  <si>
    <t>AK19</t>
  </si>
  <si>
    <t>NP864230</t>
  </si>
  <si>
    <t>Supplier return</t>
  </si>
  <si>
    <t>Each (individual item)</t>
  </si>
  <si>
    <t>Zinc Screw Phillips #6 × 1 in</t>
  </si>
  <si>
    <t>CB05</t>
  </si>
  <si>
    <t>QR582407</t>
  </si>
  <si>
    <t>G</t>
  </si>
  <si>
    <t>Gram</t>
  </si>
  <si>
    <t>Washers</t>
  </si>
  <si>
    <t>Steel Bracket L-Shape</t>
  </si>
  <si>
    <t>KG</t>
  </si>
  <si>
    <t>Kilogram</t>
  </si>
  <si>
    <t>Zinc Screw Phillips #8 × 1½ in</t>
  </si>
  <si>
    <t>247/08/24</t>
  </si>
  <si>
    <t>L</t>
  </si>
  <si>
    <t>Liter</t>
  </si>
  <si>
    <t>ST715482</t>
  </si>
  <si>
    <t>Aluminum Angle 25 × 25 × 3 mm</t>
  </si>
  <si>
    <t>DB06</t>
  </si>
  <si>
    <t>Routine stock move</t>
  </si>
  <si>
    <t>Meter</t>
  </si>
  <si>
    <t>ST946105</t>
  </si>
  <si>
    <t>Spring Washer M6</t>
  </si>
  <si>
    <t>PO226209</t>
  </si>
  <si>
    <t>MG</t>
  </si>
  <si>
    <t>Milligram</t>
  </si>
  <si>
    <t>UV230598</t>
  </si>
  <si>
    <t>Stainless Eye Bolt M10</t>
  </si>
  <si>
    <t>PO573975</t>
  </si>
  <si>
    <t>ML</t>
  </si>
  <si>
    <t>Milliliter</t>
  </si>
  <si>
    <t>Rubber Grommet 10 mm</t>
  </si>
  <si>
    <t>AU16</t>
  </si>
  <si>
    <t>DX183724</t>
  </si>
  <si>
    <t>MM</t>
  </si>
  <si>
    <t>Millimeter</t>
  </si>
  <si>
    <t>Nylon Cable Tie 200 mm</t>
  </si>
  <si>
    <t>AK18</t>
  </si>
  <si>
    <t>Inventory audit</t>
  </si>
  <si>
    <t>PA</t>
  </si>
  <si>
    <t>Pair</t>
  </si>
  <si>
    <t>Aluminum Washer 12 mm</t>
  </si>
  <si>
    <t>PK</t>
  </si>
  <si>
    <t>Pack</t>
  </si>
  <si>
    <t>AB472915</t>
  </si>
  <si>
    <t>Stainless Steel Bolt M8 × 25 mm</t>
  </si>
  <si>
    <t>BD01</t>
  </si>
  <si>
    <t>PL</t>
  </si>
  <si>
    <t>Plate</t>
  </si>
  <si>
    <t>SP634</t>
  </si>
  <si>
    <t>Plastic card scraper (medium)</t>
  </si>
  <si>
    <t>TD01</t>
  </si>
  <si>
    <t>Replaces current metal scraper MS829</t>
  </si>
  <si>
    <t>RL</t>
  </si>
  <si>
    <t>Roll</t>
  </si>
  <si>
    <t>SP851</t>
  </si>
  <si>
    <t>Plastic card scraper (large)</t>
  </si>
  <si>
    <t>TD02</t>
  </si>
  <si>
    <t>New larger version of SP634</t>
  </si>
  <si>
    <t>PO167803</t>
  </si>
  <si>
    <t>SHT</t>
  </si>
  <si>
    <t>Sheet (metal, paper, etc.)</t>
  </si>
  <si>
    <t>TN</t>
  </si>
  <si>
    <t>Tonne</t>
  </si>
  <si>
    <t>PO706726</t>
  </si>
  <si>
    <t>Manual adjustment</t>
  </si>
  <si>
    <t>PO155666</t>
  </si>
  <si>
    <t>Restock</t>
  </si>
  <si>
    <t>PO606195</t>
  </si>
  <si>
    <t>PO729314</t>
  </si>
  <si>
    <t>PO744531</t>
  </si>
  <si>
    <t>PO728669</t>
  </si>
  <si>
    <t>PO293221</t>
  </si>
  <si>
    <t>PO458583</t>
  </si>
  <si>
    <t>PO618180</t>
  </si>
  <si>
    <t>PO668119</t>
  </si>
  <si>
    <t>PO737571</t>
  </si>
  <si>
    <t>PO614305</t>
  </si>
  <si>
    <t>PO450900</t>
  </si>
  <si>
    <t>PO287755</t>
  </si>
  <si>
    <t>PO730980</t>
  </si>
  <si>
    <t>PO607441</t>
  </si>
  <si>
    <t>PO121445</t>
  </si>
  <si>
    <t>PO196904</t>
  </si>
  <si>
    <t>PO727439</t>
  </si>
  <si>
    <t>PO376265</t>
  </si>
  <si>
    <t>PO994034</t>
  </si>
  <si>
    <t>PO327030</t>
  </si>
  <si>
    <t>PO642518</t>
  </si>
  <si>
    <t>PO132204</t>
  </si>
  <si>
    <t>PO177091</t>
  </si>
  <si>
    <t>PO397731</t>
  </si>
  <si>
    <t>PO938575</t>
  </si>
  <si>
    <t>PO953162</t>
  </si>
  <si>
    <t>PO87276/01</t>
  </si>
  <si>
    <t>Customer Order CO373</t>
  </si>
  <si>
    <t>PO6367/04</t>
  </si>
  <si>
    <t>Checked on recipt for quality</t>
  </si>
  <si>
    <t>PO98721/02</t>
  </si>
  <si>
    <t>Standard supplier receipt</t>
  </si>
  <si>
    <t>Customer Order CO8384</t>
  </si>
  <si>
    <t>PO21621/01</t>
  </si>
  <si>
    <t>Emergency stock replenishment</t>
  </si>
  <si>
    <t>Incorrectly issued, correct after count</t>
  </si>
  <si>
    <t>PO1523/02</t>
  </si>
  <si>
    <t>Standard PO receipt, line complete</t>
  </si>
  <si>
    <t>Counted 38 in the bin not 48, adjustment to correct</t>
  </si>
  <si>
    <t>PO536/03</t>
  </si>
  <si>
    <t>Initial stock</t>
  </si>
  <si>
    <t>Customer Order CO8273</t>
  </si>
  <si>
    <t>PO7273/02</t>
  </si>
  <si>
    <t>Line complete</t>
  </si>
  <si>
    <t>Customer Order</t>
  </si>
  <si>
    <t>Reports</t>
  </si>
  <si>
    <t>Products Below Minimum Stock</t>
  </si>
  <si>
    <t>Order Qty</t>
  </si>
  <si>
    <t>PO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</si>
</sst>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809]* #,##0.00_-;\-[$£-809]* #,##0.00_-;_-[$£-809]* &quot;-&quot;??_-;_-@_-"/>
    <numFmt numFmtId="165" formatCode="dd/mm/yy;@"/>
    <numFmt numFmtId="166" formatCode="&quot;£&quot;#,##0.00"/>
    <numFmt numFmtId="167" formatCode="#"/>
    <numFmt numFmtId="168" formatCode="#.0"/>
  </numFmts>
  <fonts count="30">
    <font>
      <sz val="11"/>
      <color theme="1"/>
      <name val="Calibri"/>
      <family val="2"/>
      <scheme val="minor"/>
    </font>
    <font>
      <sz val="11"/>
      <color theme="1"/>
      <name val="Segoe UI"/>
      <family val="2"/>
    </font>
    <font>
      <sz val="28"/>
      <color theme="0"/>
      <name val="Segoe UI Light"/>
      <family val="2"/>
    </font>
    <font>
      <sz val="11"/>
      <color theme="1"/>
      <name val="Calibri"/>
      <family val="2"/>
      <scheme val="minor"/>
    </font>
    <font>
      <b/>
      <sz val="11"/>
      <color theme="1"/>
      <name val="Calibri"/>
      <family val="2"/>
      <scheme val="minor"/>
    </font>
    <font>
      <sz val="11"/>
      <color theme="1" tint="0.14999847407452621"/>
      <name val="Calibri"/>
      <family val="2"/>
      <scheme val="minor"/>
    </font>
    <font>
      <b/>
      <sz val="28"/>
      <color theme="0"/>
      <name val="Calibri"/>
      <family val="2"/>
      <scheme val="minor"/>
    </font>
    <font>
      <b/>
      <sz val="18"/>
      <color theme="1"/>
      <name val="Calibri"/>
      <family val="2"/>
      <scheme val="minor"/>
    </font>
    <font>
      <b/>
      <sz val="11"/>
      <color theme="9" tint="-0.249977111117893"/>
      <name val="Calibri"/>
      <family val="2"/>
      <scheme val="minor"/>
    </font>
    <font>
      <sz val="11"/>
      <color theme="9" tint="-0.249977111117893"/>
      <name val="Calibri"/>
      <family val="2"/>
      <scheme val="minor"/>
    </font>
    <font>
      <b/>
      <sz val="18"/>
      <color rgb="FF354F52"/>
      <name val="Calibri"/>
      <family val="2"/>
      <scheme val="minor"/>
    </font>
    <font>
      <b/>
      <sz val="20"/>
      <color rgb="FF354F52"/>
      <name val="Calibri"/>
      <family val="2"/>
      <scheme val="minor"/>
    </font>
    <font>
      <sz val="16"/>
      <color theme="1"/>
      <name val="Segoe UI"/>
      <family val="2"/>
    </font>
    <font>
      <b/>
      <sz val="20"/>
      <color theme="1"/>
      <name val="Calibri"/>
      <family val="2"/>
      <scheme val="minor"/>
    </font>
    <font>
      <sz val="8"/>
      <name val="Calibri"/>
      <family val="2"/>
      <scheme val="minor"/>
    </font>
    <font>
      <sz val="11"/>
      <color theme="0"/>
      <name val="Calibri"/>
      <family val="2"/>
      <scheme val="minor"/>
    </font>
    <font>
      <sz val="11"/>
      <color theme="0"/>
      <name val="Segoe UI"/>
      <family val="2"/>
    </font>
    <font>
      <b/>
      <sz val="20"/>
      <color theme="0"/>
      <name val="Calibri"/>
      <family val="2"/>
      <scheme val="minor"/>
    </font>
    <font>
      <sz val="11"/>
      <color rgb="FFC00000"/>
      <name val="Calibri"/>
      <family val="2"/>
      <scheme val="minor"/>
    </font>
    <font>
      <b/>
      <sz val="14"/>
      <color theme="1"/>
      <name val="Calibri"/>
      <family val="2"/>
      <scheme val="minor"/>
    </font>
    <font>
      <b/>
      <sz val="11"/>
      <color rgb="FFFF0000"/>
      <name val="Calibri"/>
      <family val="2"/>
      <scheme val="minor"/>
    </font>
    <font>
      <sz val="11"/>
      <name val="Segoe UI"/>
      <family val="2"/>
    </font>
    <font>
      <sz val="11"/>
      <name val="Calibri"/>
      <family val="2"/>
      <scheme val="minor"/>
    </font>
    <font>
      <sz val="11"/>
      <color rgb="FFFF0000"/>
      <name val="Calibri"/>
      <family val="2"/>
      <scheme val="minor"/>
    </font>
    <font>
      <sz val="11"/>
      <color rgb="FFC00000"/>
      <name val="Segoe UI"/>
      <family val="2"/>
    </font>
    <font>
      <b/>
      <sz val="16"/>
      <color rgb="FF2F3E46"/>
      <name val="Calibri"/>
      <family val="2"/>
      <scheme val="minor"/>
    </font>
    <font>
      <sz val="10"/>
      <color rgb="FF000000"/>
      <name val="Arial Unicode MS"/>
    </font>
    <font>
      <sz val="11"/>
      <color rgb="FF52796F"/>
      <name val="Segoe UI"/>
      <family val="2"/>
    </font>
    <font>
      <b/>
      <sz val="11"/>
      <color rgb="FF52796F"/>
      <name val="Calibri"/>
      <family val="2"/>
      <scheme val="minor"/>
    </font>
    <font>
      <sz val="11"/>
      <color rgb="FF52796F"/>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rgb="FF2F3E46"/>
        <bgColor indexed="64"/>
      </patternFill>
    </fill>
    <fill>
      <patternFill patternType="solid">
        <fgColor rgb="FFCAD2C5"/>
        <bgColor indexed="64"/>
      </patternFill>
    </fill>
    <fill>
      <patternFill patternType="solid">
        <fgColor theme="0"/>
        <bgColor indexed="64"/>
      </patternFill>
    </fill>
    <fill>
      <patternFill patternType="solid">
        <fgColor rgb="FF84A98C"/>
        <bgColor indexed="64"/>
      </patternFill>
    </fill>
    <fill>
      <patternFill patternType="solid">
        <fgColor theme="0"/>
        <bgColor theme="9" tint="0.79998168889431442"/>
      </patternFill>
    </fill>
  </fills>
  <borders count="24">
    <border>
      <left/>
      <right/>
      <top/>
      <bottom/>
      <diagonal/>
    </border>
    <border>
      <left/>
      <right/>
      <top/>
      <bottom style="medium">
        <color theme="7"/>
      </bottom>
      <diagonal/>
    </border>
    <border>
      <left/>
      <right/>
      <top style="thin">
        <color theme="9"/>
      </top>
      <bottom style="thin">
        <color theme="9"/>
      </bottom>
      <diagonal/>
    </border>
    <border>
      <left/>
      <right/>
      <top/>
      <bottom style="thin">
        <color theme="9"/>
      </bottom>
      <diagonal/>
    </border>
    <border>
      <left/>
      <right/>
      <top/>
      <bottom style="medium">
        <color indexed="64"/>
      </bottom>
      <diagonal/>
    </border>
    <border>
      <left/>
      <right/>
      <top/>
      <bottom style="medium">
        <color rgb="FF52796F"/>
      </bottom>
      <diagonal/>
    </border>
    <border>
      <left style="thin">
        <color theme="9"/>
      </left>
      <right style="thin">
        <color theme="9"/>
      </right>
      <top style="thin">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style="thin">
        <color theme="9"/>
      </bottom>
      <diagonal/>
    </border>
    <border>
      <left/>
      <right style="thin">
        <color theme="9"/>
      </right>
      <top/>
      <bottom style="thin">
        <color theme="9"/>
      </bottom>
      <diagonal/>
    </border>
    <border>
      <left style="thin">
        <color theme="9"/>
      </left>
      <right/>
      <top/>
      <bottom style="thin">
        <color theme="9"/>
      </bottom>
      <diagonal/>
    </border>
    <border>
      <left/>
      <right style="thin">
        <color theme="9"/>
      </right>
      <top style="thin">
        <color theme="9"/>
      </top>
      <bottom/>
      <diagonal/>
    </border>
    <border>
      <left style="thin">
        <color theme="9"/>
      </left>
      <right/>
      <top style="thin">
        <color theme="9"/>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9"/>
      </top>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149">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xf>
    <xf numFmtId="0" fontId="6" fillId="3" borderId="0" xfId="0" applyFont="1" applyFill="1" applyAlignment="1">
      <alignment vertical="center"/>
    </xf>
    <xf numFmtId="0" fontId="2" fillId="3" borderId="0" xfId="0" applyFont="1" applyFill="1" applyAlignment="1">
      <alignment vertical="center"/>
    </xf>
    <xf numFmtId="0" fontId="1" fillId="3" borderId="0" xfId="0" applyFont="1" applyFill="1"/>
    <xf numFmtId="0" fontId="0" fillId="4" borderId="0" xfId="0" applyFill="1" applyAlignment="1">
      <alignment vertical="center"/>
    </xf>
    <xf numFmtId="0" fontId="7" fillId="0" borderId="0" xfId="0" applyFont="1"/>
    <xf numFmtId="0" fontId="0" fillId="0" borderId="0" xfId="0" applyAlignment="1">
      <alignment horizontal="center"/>
    </xf>
    <xf numFmtId="0" fontId="0" fillId="4" borderId="0" xfId="0" applyFill="1"/>
    <xf numFmtId="0" fontId="5" fillId="4" borderId="0" xfId="0" applyFont="1" applyFill="1" applyAlignment="1">
      <alignment horizontal="right" vertical="center" indent="1"/>
    </xf>
    <xf numFmtId="0" fontId="5" fillId="4" borderId="0" xfId="0" applyFont="1" applyFill="1" applyAlignment="1">
      <alignment horizontal="right" vertical="top" indent="1"/>
    </xf>
    <xf numFmtId="0" fontId="4" fillId="5" borderId="1" xfId="0" applyFont="1" applyFill="1" applyBorder="1" applyAlignment="1" applyProtection="1">
      <alignment vertical="center"/>
      <protection locked="0"/>
    </xf>
    <xf numFmtId="0" fontId="9" fillId="0" borderId="0" xfId="0" applyFont="1"/>
    <xf numFmtId="0" fontId="8" fillId="0" borderId="3" xfId="0" applyFont="1" applyBorder="1"/>
    <xf numFmtId="165" fontId="0" fillId="0" borderId="0" xfId="0" applyNumberFormat="1"/>
    <xf numFmtId="164" fontId="0" fillId="0" borderId="0" xfId="0" applyNumberFormat="1"/>
    <xf numFmtId="164" fontId="1" fillId="0" borderId="0" xfId="0" applyNumberFormat="1" applyFont="1"/>
    <xf numFmtId="0" fontId="2" fillId="3" borderId="0" xfId="0" applyFont="1" applyFill="1" applyAlignment="1">
      <alignment horizontal="center" vertical="center"/>
    </xf>
    <xf numFmtId="0" fontId="0" fillId="4" borderId="0" xfId="0" applyFill="1" applyAlignment="1">
      <alignment horizontal="center"/>
    </xf>
    <xf numFmtId="0" fontId="5" fillId="4" borderId="0" xfId="0" applyFont="1" applyFill="1" applyAlignment="1">
      <alignment horizontal="center" vertical="center"/>
    </xf>
    <xf numFmtId="0" fontId="4" fillId="5" borderId="1" xfId="0" applyFont="1" applyFill="1" applyBorder="1" applyAlignment="1" applyProtection="1">
      <alignment horizontal="center" vertical="center"/>
      <protection locked="0"/>
    </xf>
    <xf numFmtId="9" fontId="0" fillId="0" borderId="0" xfId="1" applyFont="1"/>
    <xf numFmtId="9" fontId="1" fillId="0" borderId="0" xfId="1" applyFont="1"/>
    <xf numFmtId="0" fontId="9" fillId="0" borderId="2" xfId="0" applyFont="1" applyBorder="1"/>
    <xf numFmtId="0" fontId="13" fillId="0" borderId="0" xfId="0" applyFont="1"/>
    <xf numFmtId="0" fontId="13" fillId="0" borderId="0" xfId="0" applyFont="1" applyAlignment="1">
      <alignment horizontal="right"/>
    </xf>
    <xf numFmtId="0" fontId="1" fillId="4" borderId="0" xfId="0" applyFont="1" applyFill="1"/>
    <xf numFmtId="0" fontId="11" fillId="4" borderId="0" xfId="0" applyFont="1" applyFill="1" applyAlignment="1">
      <alignment vertical="top"/>
    </xf>
    <xf numFmtId="0" fontId="11" fillId="6" borderId="4" xfId="0" applyFont="1" applyFill="1" applyBorder="1" applyAlignment="1">
      <alignment horizontal="left" vertical="center"/>
    </xf>
    <xf numFmtId="0" fontId="10" fillId="6" borderId="4" xfId="0" applyFont="1" applyFill="1" applyBorder="1" applyAlignment="1">
      <alignment horizontal="centerContinuous" vertical="center"/>
    </xf>
    <xf numFmtId="0" fontId="5" fillId="4" borderId="0" xfId="0" applyFont="1" applyFill="1" applyAlignment="1">
      <alignment vertical="center"/>
    </xf>
    <xf numFmtId="0" fontId="0" fillId="5" borderId="5" xfId="0" applyFill="1" applyBorder="1" applyAlignment="1" applyProtection="1">
      <alignment vertical="center"/>
      <protection locked="0"/>
    </xf>
    <xf numFmtId="14" fontId="0" fillId="5" borderId="5" xfId="0" applyNumberFormat="1" applyFill="1" applyBorder="1" applyAlignment="1" applyProtection="1">
      <alignment horizontal="left" vertical="center"/>
      <protection locked="0"/>
    </xf>
    <xf numFmtId="0" fontId="9" fillId="0" borderId="6" xfId="0" applyFont="1" applyBorder="1"/>
    <xf numFmtId="0" fontId="8" fillId="0" borderId="6" xfId="0" applyFont="1" applyBorder="1"/>
    <xf numFmtId="0" fontId="4" fillId="5" borderId="0" xfId="0" applyFont="1" applyFill="1" applyAlignment="1" applyProtection="1">
      <alignment vertical="center"/>
      <protection locked="0"/>
    </xf>
    <xf numFmtId="0" fontId="16" fillId="3" borderId="0" xfId="0" applyFont="1" applyFill="1"/>
    <xf numFmtId="0" fontId="16" fillId="0" borderId="0" xfId="0" applyFont="1"/>
    <xf numFmtId="0" fontId="17" fillId="0" borderId="0" xfId="0" applyFont="1" applyAlignment="1">
      <alignment horizontal="right"/>
    </xf>
    <xf numFmtId="0" fontId="17" fillId="0" borderId="0" xfId="0" applyFont="1"/>
    <xf numFmtId="0" fontId="15" fillId="0" borderId="0" xfId="0" applyFont="1"/>
    <xf numFmtId="9" fontId="16" fillId="0" borderId="0" xfId="1" applyFont="1"/>
    <xf numFmtId="164" fontId="9" fillId="0" borderId="0" xfId="0" applyNumberFormat="1" applyFont="1"/>
    <xf numFmtId="164" fontId="9" fillId="0" borderId="2" xfId="0" applyNumberFormat="1" applyFont="1" applyBorder="1"/>
    <xf numFmtId="0" fontId="18" fillId="0" borderId="0" xfId="0" applyFont="1"/>
    <xf numFmtId="0" fontId="7" fillId="0" borderId="0" xfId="0" applyFont="1" applyAlignment="1">
      <alignment horizontal="center"/>
    </xf>
    <xf numFmtId="0" fontId="19" fillId="4" borderId="0" xfId="0" applyFont="1" applyFill="1" applyAlignment="1">
      <alignment vertical="center"/>
    </xf>
    <xf numFmtId="0" fontId="10" fillId="6" borderId="4" xfId="0" applyFont="1" applyFill="1" applyBorder="1" applyAlignment="1">
      <alignment horizontal="center" vertical="center"/>
    </xf>
    <xf numFmtId="0" fontId="20" fillId="4" borderId="0" xfId="0" applyFont="1" applyFill="1" applyAlignment="1">
      <alignment horizontal="left" vertical="center" indent="1"/>
    </xf>
    <xf numFmtId="14" fontId="0" fillId="5" borderId="5" xfId="1" applyNumberFormat="1" applyFont="1" applyFill="1" applyBorder="1" applyAlignment="1" applyProtection="1">
      <alignment horizontal="left" vertical="center"/>
    </xf>
    <xf numFmtId="164" fontId="9" fillId="0" borderId="6" xfId="0" applyNumberFormat="1" applyFont="1" applyBorder="1"/>
    <xf numFmtId="0" fontId="9" fillId="2" borderId="7" xfId="0" applyFont="1" applyFill="1" applyBorder="1"/>
    <xf numFmtId="0" fontId="9" fillId="0" borderId="7" xfId="0" applyFont="1" applyBorder="1"/>
    <xf numFmtId="0" fontId="9" fillId="2" borderId="8" xfId="0" applyFont="1" applyFill="1" applyBorder="1"/>
    <xf numFmtId="0" fontId="9" fillId="0" borderId="8" xfId="0" applyFont="1" applyBorder="1"/>
    <xf numFmtId="0" fontId="8" fillId="0" borderId="9" xfId="0" applyFont="1" applyBorder="1"/>
    <xf numFmtId="0" fontId="8" fillId="0" borderId="10" xfId="0" applyFont="1" applyBorder="1"/>
    <xf numFmtId="0" fontId="9" fillId="0" borderId="11" xfId="0" applyFont="1" applyBorder="1"/>
    <xf numFmtId="0" fontId="9" fillId="0" borderId="12" xfId="0" applyFont="1" applyBorder="1"/>
    <xf numFmtId="0" fontId="9" fillId="0" borderId="10" xfId="0" applyFont="1" applyBorder="1"/>
    <xf numFmtId="0" fontId="0" fillId="0" borderId="0" xfId="0" applyAlignment="1">
      <alignment horizontal="left"/>
    </xf>
    <xf numFmtId="167" fontId="0" fillId="0" borderId="0" xfId="0" applyNumberFormat="1" applyAlignment="1">
      <alignment horizontal="left"/>
    </xf>
    <xf numFmtId="0" fontId="21" fillId="0" borderId="0" xfId="0" applyFont="1"/>
    <xf numFmtId="0" fontId="22" fillId="0" borderId="0" xfId="0" applyFont="1"/>
    <xf numFmtId="14" fontId="1" fillId="3" borderId="0" xfId="0" applyNumberFormat="1" applyFont="1" applyFill="1"/>
    <xf numFmtId="14" fontId="8" fillId="0" borderId="3" xfId="0" applyNumberFormat="1" applyFont="1" applyBorder="1" applyAlignment="1">
      <alignment horizontal="center"/>
    </xf>
    <xf numFmtId="14" fontId="9" fillId="0" borderId="2" xfId="0" applyNumberFormat="1" applyFont="1" applyBorder="1"/>
    <xf numFmtId="14" fontId="1" fillId="0" borderId="0" xfId="0" applyNumberFormat="1" applyFont="1" applyAlignment="1">
      <alignment horizontal="center"/>
    </xf>
    <xf numFmtId="164" fontId="21" fillId="0" borderId="0" xfId="0" applyNumberFormat="1" applyFont="1"/>
    <xf numFmtId="0" fontId="4" fillId="5" borderId="1" xfId="0" applyFont="1" applyFill="1" applyBorder="1" applyAlignment="1" applyProtection="1">
      <alignment horizontal="left" vertical="center"/>
      <protection locked="0"/>
    </xf>
    <xf numFmtId="166" fontId="11" fillId="4" borderId="0" xfId="0" applyNumberFormat="1" applyFont="1" applyFill="1" applyAlignment="1">
      <alignment vertical="top" wrapText="1"/>
    </xf>
    <xf numFmtId="0" fontId="4" fillId="0" borderId="0" xfId="0" applyFont="1"/>
    <xf numFmtId="0" fontId="4" fillId="0" borderId="0" xfId="0" applyFont="1" applyAlignment="1">
      <alignment horizontal="center"/>
    </xf>
    <xf numFmtId="0" fontId="0" fillId="4" borderId="0" xfId="0" applyFill="1" applyAlignment="1">
      <alignment horizontal="left"/>
    </xf>
    <xf numFmtId="0" fontId="23" fillId="0" borderId="0" xfId="0" applyFont="1"/>
    <xf numFmtId="0" fontId="24" fillId="0" borderId="0" xfId="0" applyFont="1"/>
    <xf numFmtId="0" fontId="18" fillId="4" borderId="0" xfId="0" applyFont="1" applyFill="1" applyAlignment="1">
      <alignment vertical="top"/>
    </xf>
    <xf numFmtId="1" fontId="9" fillId="0" borderId="0" xfId="0" applyNumberFormat="1" applyFont="1"/>
    <xf numFmtId="14" fontId="9" fillId="0" borderId="0" xfId="0" applyNumberFormat="1" applyFont="1" applyAlignment="1">
      <alignment horizontal="center"/>
    </xf>
    <xf numFmtId="0" fontId="1" fillId="0" borderId="16" xfId="0" applyFont="1" applyBorder="1"/>
    <xf numFmtId="0" fontId="1" fillId="0" borderId="17" xfId="0" applyFont="1" applyBorder="1"/>
    <xf numFmtId="0" fontId="1" fillId="0" borderId="18" xfId="0" applyFont="1" applyBorder="1"/>
    <xf numFmtId="0" fontId="1" fillId="0" borderId="4" xfId="0" applyFont="1" applyBorder="1"/>
    <xf numFmtId="0" fontId="1" fillId="0" borderId="19" xfId="0" applyFont="1" applyBorder="1"/>
    <xf numFmtId="0" fontId="1" fillId="0" borderId="13" xfId="0" applyFont="1" applyBorder="1"/>
    <xf numFmtId="0" fontId="1" fillId="0" borderId="15" xfId="0" applyFont="1" applyBorder="1"/>
    <xf numFmtId="0" fontId="9" fillId="0" borderId="16" xfId="0" applyFont="1" applyBorder="1"/>
    <xf numFmtId="0" fontId="9" fillId="0" borderId="17" xfId="0" applyFont="1" applyBorder="1"/>
    <xf numFmtId="164" fontId="9" fillId="0" borderId="16" xfId="0" applyNumberFormat="1" applyFont="1" applyBorder="1"/>
    <xf numFmtId="164" fontId="9" fillId="0" borderId="17" xfId="0" applyNumberFormat="1" applyFont="1" applyBorder="1"/>
    <xf numFmtId="166" fontId="0" fillId="5" borderId="5" xfId="0" applyNumberFormat="1" applyFill="1" applyBorder="1" applyAlignment="1" applyProtection="1">
      <alignment horizontal="right" vertical="center"/>
      <protection locked="0"/>
    </xf>
    <xf numFmtId="14" fontId="2" fillId="3" borderId="0" xfId="0" applyNumberFormat="1" applyFont="1" applyFill="1" applyAlignment="1">
      <alignment horizontal="center" vertical="center"/>
    </xf>
    <xf numFmtId="14" fontId="0" fillId="0" borderId="0" xfId="0" applyNumberFormat="1" applyAlignment="1">
      <alignment horizontal="center"/>
    </xf>
    <xf numFmtId="14" fontId="0" fillId="5" borderId="5" xfId="0" applyNumberFormat="1" applyFill="1" applyBorder="1" applyAlignment="1" applyProtection="1">
      <alignment horizontal="right" vertical="center"/>
      <protection locked="0"/>
    </xf>
    <xf numFmtId="0" fontId="0" fillId="4" borderId="5" xfId="2" applyNumberFormat="1" applyFont="1" applyFill="1" applyBorder="1"/>
    <xf numFmtId="166" fontId="0" fillId="4" borderId="5" xfId="2" applyNumberFormat="1" applyFont="1" applyFill="1" applyBorder="1"/>
    <xf numFmtId="168" fontId="0" fillId="0" borderId="0" xfId="0" applyNumberFormat="1" applyAlignment="1">
      <alignment horizontal="left"/>
    </xf>
    <xf numFmtId="166" fontId="0" fillId="0" borderId="0" xfId="0" applyNumberFormat="1" applyAlignment="1">
      <alignment horizontal="left"/>
    </xf>
    <xf numFmtId="0" fontId="15" fillId="5" borderId="0" xfId="0" applyFont="1" applyFill="1"/>
    <xf numFmtId="0" fontId="16" fillId="5" borderId="0" xfId="0" applyFont="1" applyFill="1"/>
    <xf numFmtId="0" fontId="26" fillId="0" borderId="0" xfId="0" applyFont="1" applyAlignment="1">
      <alignment horizontal="left" vertical="center"/>
    </xf>
    <xf numFmtId="2" fontId="2" fillId="3" borderId="0" xfId="0" applyNumberFormat="1" applyFont="1" applyFill="1" applyAlignment="1">
      <alignment horizontal="right" vertical="center"/>
    </xf>
    <xf numFmtId="2" fontId="1" fillId="0" borderId="0" xfId="0" applyNumberFormat="1" applyFont="1" applyAlignment="1">
      <alignment horizontal="right"/>
    </xf>
    <xf numFmtId="2" fontId="8" fillId="0" borderId="3" xfId="0" applyNumberFormat="1" applyFont="1" applyBorder="1" applyAlignment="1">
      <alignment horizontal="right"/>
    </xf>
    <xf numFmtId="2" fontId="9" fillId="0" borderId="2" xfId="0" applyNumberFormat="1" applyFont="1" applyBorder="1" applyAlignment="1">
      <alignment horizontal="right"/>
    </xf>
    <xf numFmtId="2" fontId="0" fillId="0" borderId="0" xfId="0" applyNumberFormat="1" applyAlignment="1">
      <alignment horizontal="right"/>
    </xf>
    <xf numFmtId="2" fontId="1" fillId="3" borderId="0" xfId="0" applyNumberFormat="1" applyFont="1" applyFill="1" applyAlignment="1">
      <alignment horizontal="right"/>
    </xf>
    <xf numFmtId="2" fontId="9" fillId="0" borderId="0" xfId="0" applyNumberFormat="1" applyFont="1" applyAlignment="1">
      <alignment horizontal="right"/>
    </xf>
    <xf numFmtId="44" fontId="2" fillId="3" borderId="0" xfId="0" applyNumberFormat="1" applyFont="1" applyFill="1" applyAlignment="1">
      <alignment vertical="center"/>
    </xf>
    <xf numFmtId="44" fontId="1" fillId="0" borderId="0" xfId="0" applyNumberFormat="1" applyFont="1"/>
    <xf numFmtId="44" fontId="8" fillId="0" borderId="3" xfId="0" applyNumberFormat="1" applyFont="1" applyBorder="1"/>
    <xf numFmtId="44" fontId="9" fillId="0" borderId="0" xfId="0" applyNumberFormat="1" applyFont="1"/>
    <xf numFmtId="44" fontId="0" fillId="0" borderId="0" xfId="0" applyNumberFormat="1"/>
    <xf numFmtId="2" fontId="27" fillId="3" borderId="0" xfId="0" applyNumberFormat="1" applyFont="1" applyFill="1" applyAlignment="1">
      <alignment horizontal="right"/>
    </xf>
    <xf numFmtId="2" fontId="27" fillId="0" borderId="0" xfId="0" applyNumberFormat="1" applyFont="1" applyAlignment="1">
      <alignment horizontal="right"/>
    </xf>
    <xf numFmtId="2" fontId="28" fillId="0" borderId="3" xfId="0" applyNumberFormat="1" applyFont="1" applyBorder="1" applyAlignment="1">
      <alignment horizontal="right"/>
    </xf>
    <xf numFmtId="2" fontId="29" fillId="0" borderId="2" xfId="0" applyNumberFormat="1" applyFont="1" applyBorder="1" applyAlignment="1">
      <alignment horizontal="right"/>
    </xf>
    <xf numFmtId="2" fontId="29" fillId="0" borderId="0" xfId="0" applyNumberFormat="1" applyFont="1" applyAlignment="1">
      <alignment horizontal="right"/>
    </xf>
    <xf numFmtId="0" fontId="9" fillId="5" borderId="0" xfId="0" applyFont="1" applyFill="1"/>
    <xf numFmtId="0" fontId="9" fillId="5" borderId="0" xfId="0" applyFont="1" applyFill="1" applyAlignment="1">
      <alignment horizontal="center" vertical="center" wrapText="1"/>
    </xf>
    <xf numFmtId="0" fontId="9" fillId="7" borderId="0" xfId="0" applyFont="1" applyFill="1"/>
    <xf numFmtId="1" fontId="9" fillId="5" borderId="0" xfId="0" applyNumberFormat="1" applyFont="1" applyFill="1"/>
    <xf numFmtId="164" fontId="9" fillId="5" borderId="0" xfId="0" applyNumberFormat="1" applyFont="1" applyFill="1" applyAlignment="1">
      <alignment vertical="center" wrapText="1"/>
    </xf>
    <xf numFmtId="14" fontId="9" fillId="5" borderId="0" xfId="0" applyNumberFormat="1" applyFont="1" applyFill="1" applyAlignment="1">
      <alignment horizontal="center"/>
    </xf>
    <xf numFmtId="2" fontId="9" fillId="5" borderId="0" xfId="0" applyNumberFormat="1" applyFont="1" applyFill="1" applyAlignment="1">
      <alignment horizontal="right" vertical="center" wrapText="1"/>
    </xf>
    <xf numFmtId="44" fontId="9" fillId="7" borderId="0" xfId="0" applyNumberFormat="1" applyFont="1" applyFill="1"/>
    <xf numFmtId="0" fontId="9" fillId="5" borderId="0" xfId="0" applyFont="1" applyFill="1" applyAlignment="1">
      <alignment vertical="center" wrapText="1"/>
    </xf>
    <xf numFmtId="2" fontId="9" fillId="5" borderId="0" xfId="0" applyNumberFormat="1" applyFont="1" applyFill="1" applyAlignment="1">
      <alignment horizontal="right"/>
    </xf>
    <xf numFmtId="2" fontId="29" fillId="5" borderId="0" xfId="0" applyNumberFormat="1" applyFont="1" applyFill="1" applyAlignment="1">
      <alignment horizontal="right"/>
    </xf>
    <xf numFmtId="164" fontId="9" fillId="5" borderId="0" xfId="0" applyNumberFormat="1" applyFont="1" applyFill="1"/>
    <xf numFmtId="0" fontId="9" fillId="2" borderId="23" xfId="0" applyFont="1" applyFill="1" applyBorder="1"/>
    <xf numFmtId="14" fontId="9" fillId="2" borderId="23" xfId="0" applyNumberFormat="1" applyFont="1" applyFill="1" applyBorder="1" applyAlignment="1">
      <alignment horizontal="center"/>
    </xf>
    <xf numFmtId="166" fontId="11" fillId="4" borderId="0" xfId="0" applyNumberFormat="1" applyFont="1" applyFill="1" applyAlignment="1">
      <alignment horizontal="right" vertical="top" wrapText="1"/>
    </xf>
    <xf numFmtId="0" fontId="11" fillId="4" borderId="0" xfId="0" applyFont="1" applyFill="1" applyAlignment="1">
      <alignment horizontal="left" vertical="top"/>
    </xf>
    <xf numFmtId="14" fontId="0" fillId="5" borderId="5" xfId="0" applyNumberFormat="1" applyFill="1" applyBorder="1" applyAlignment="1" applyProtection="1">
      <alignment horizontal="left" vertical="center"/>
      <protection locked="0"/>
    </xf>
    <xf numFmtId="0" fontId="0" fillId="5" borderId="5" xfId="0" applyFill="1" applyBorder="1" applyAlignment="1" applyProtection="1">
      <alignment horizontal="left" vertical="center"/>
      <protection locked="0"/>
    </xf>
    <xf numFmtId="0" fontId="0" fillId="5" borderId="5" xfId="0" applyFill="1" applyBorder="1" applyAlignment="1" applyProtection="1">
      <alignment horizontal="left" vertical="top"/>
      <protection locked="0"/>
    </xf>
    <xf numFmtId="0" fontId="11" fillId="4" borderId="0" xfId="0" applyFont="1" applyFill="1" applyAlignment="1">
      <alignment horizontal="right" vertical="top"/>
    </xf>
    <xf numFmtId="0" fontId="11" fillId="6" borderId="0" xfId="0" applyFont="1" applyFill="1" applyAlignment="1">
      <alignment horizontal="left" vertical="center"/>
    </xf>
    <xf numFmtId="0" fontId="11" fillId="6" borderId="4" xfId="0" applyFont="1" applyFill="1" applyBorder="1" applyAlignment="1">
      <alignment horizontal="left" vertical="center"/>
    </xf>
    <xf numFmtId="9" fontId="12" fillId="0" borderId="0" xfId="1" applyFont="1" applyAlignment="1">
      <alignment horizontal="right" vertical="center"/>
    </xf>
    <xf numFmtId="1" fontId="0" fillId="5" borderId="5" xfId="0" applyNumberFormat="1" applyFill="1" applyBorder="1" applyAlignment="1" applyProtection="1">
      <alignment horizontal="left" vertical="center"/>
      <protection locked="0"/>
    </xf>
    <xf numFmtId="0" fontId="7" fillId="0" borderId="0" xfId="0" applyFont="1" applyAlignment="1">
      <alignment horizontal="center"/>
    </xf>
    <xf numFmtId="0" fontId="7" fillId="0" borderId="14" xfId="0" applyFont="1" applyBorder="1" applyAlignment="1">
      <alignment horizontal="center"/>
    </xf>
    <xf numFmtId="0" fontId="25" fillId="6" borderId="20" xfId="0" applyFont="1" applyFill="1" applyBorder="1" applyAlignment="1">
      <alignment horizontal="center"/>
    </xf>
    <xf numFmtId="0" fontId="25" fillId="6" borderId="21" xfId="0" applyFont="1" applyFill="1" applyBorder="1" applyAlignment="1">
      <alignment horizontal="center"/>
    </xf>
    <xf numFmtId="0" fontId="25" fillId="6" borderId="22" xfId="0" applyFont="1" applyFill="1" applyBorder="1" applyAlignment="1">
      <alignment horizontal="center"/>
    </xf>
  </cellXfs>
  <cellStyles count="3">
    <cellStyle name="Currency" xfId="2" builtinId="4"/>
    <cellStyle name="Normal" xfId="0" builtinId="0"/>
    <cellStyle name="Per cent" xfId="1" builtinId="5"/>
  </cellStyles>
  <dxfs count="44">
    <dxf>
      <font>
        <b val="0"/>
        <i val="0"/>
        <strike val="0"/>
        <condense val="0"/>
        <extend val="0"/>
        <outline val="0"/>
        <shadow val="0"/>
        <u val="none"/>
        <vertAlign val="baseline"/>
        <sz val="11"/>
        <color theme="9" tint="-0.249977111117893"/>
        <name val="Calibri"/>
        <family val="2"/>
        <scheme val="minor"/>
      </font>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1"/>
        <color theme="9" tint="-0.249977111117893"/>
        <name val="Calibri"/>
        <family val="2"/>
        <scheme val="minor"/>
      </font>
      <border diagonalUp="0" diagonalDown="0">
        <left/>
        <right style="thin">
          <color theme="9"/>
        </right>
        <top style="thin">
          <color theme="9"/>
        </top>
        <bottom style="thin">
          <color theme="9"/>
        </bottom>
        <vertical/>
        <horizontal/>
      </border>
    </dxf>
    <dxf>
      <border outline="0">
        <top style="thin">
          <color theme="9"/>
        </top>
      </border>
    </dxf>
    <dxf>
      <border outline="0">
        <left style="thin">
          <color theme="9"/>
        </left>
        <right style="thin">
          <color theme="9"/>
        </right>
        <top style="thin">
          <color theme="9"/>
        </top>
        <bottom style="thin">
          <color theme="9"/>
        </bottom>
      </border>
    </dxf>
    <dxf>
      <border outline="0">
        <bottom style="thin">
          <color theme="9"/>
        </bottom>
      </border>
    </dxf>
    <dxf>
      <font>
        <b/>
        <i val="0"/>
        <strike val="0"/>
        <condense val="0"/>
        <extend val="0"/>
        <outline val="0"/>
        <shadow val="0"/>
        <u val="none"/>
        <vertAlign val="baseline"/>
        <sz val="11"/>
        <color theme="9" tint="-0.249977111117893"/>
        <name val="Calibri"/>
        <family val="2"/>
        <scheme val="minor"/>
      </font>
      <border diagonalUp="0" diagonalDown="0" outline="0">
        <left style="thin">
          <color theme="9"/>
        </left>
        <right style="thin">
          <color theme="9"/>
        </right>
        <top/>
        <bottom/>
      </border>
    </dxf>
    <dxf>
      <font>
        <b val="0"/>
        <i val="0"/>
        <strike val="0"/>
        <condense val="0"/>
        <extend val="0"/>
        <outline val="0"/>
        <shadow val="0"/>
        <u val="none"/>
        <vertAlign val="baseline"/>
        <sz val="11"/>
        <color theme="9" tint="-0.249977111117893"/>
        <name val="Calibri"/>
        <family val="2"/>
        <scheme val="minor"/>
      </font>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1"/>
        <color theme="9" tint="-0.249977111117893"/>
        <name val="Calibri"/>
        <family val="2"/>
        <scheme val="minor"/>
      </font>
      <border diagonalUp="0" diagonalDown="0">
        <left/>
        <right style="thin">
          <color theme="9"/>
        </right>
        <top style="thin">
          <color theme="9"/>
        </top>
        <bottom style="thin">
          <color theme="9"/>
        </bottom>
        <vertical/>
        <horizontal/>
      </border>
    </dxf>
    <dxf>
      <border outline="0">
        <top style="thin">
          <color theme="9"/>
        </top>
      </border>
    </dxf>
    <dxf>
      <border outline="0">
        <left style="thin">
          <color theme="9"/>
        </left>
        <right style="thin">
          <color theme="9"/>
        </right>
        <top style="thin">
          <color theme="9"/>
        </top>
        <bottom style="thin">
          <color theme="9"/>
        </bottom>
      </border>
    </dxf>
    <dxf>
      <border outline="0">
        <bottom style="thin">
          <color theme="9"/>
        </bottom>
      </border>
    </dxf>
    <dxf>
      <border outline="0">
        <top style="thin">
          <color theme="9"/>
        </top>
      </border>
    </dxf>
    <dxf>
      <border outline="0">
        <left style="thin">
          <color theme="9"/>
        </left>
        <right style="thin">
          <color theme="9"/>
        </right>
        <top style="thin">
          <color theme="9"/>
        </top>
        <bottom style="thin">
          <color theme="9"/>
        </bottom>
      </border>
    </dxf>
    <dxf>
      <border outline="0">
        <bottom style="thin">
          <color theme="9"/>
        </bottom>
      </border>
    </dxf>
    <dxf>
      <font>
        <b/>
        <i val="0"/>
        <strike val="0"/>
        <condense val="0"/>
        <extend val="0"/>
        <outline val="0"/>
        <shadow val="0"/>
        <u val="none"/>
        <vertAlign val="baseline"/>
        <sz val="11"/>
        <color theme="9" tint="-0.249977111117893"/>
        <name val="Calibri"/>
        <family val="2"/>
        <scheme val="minor"/>
      </font>
      <border diagonalUp="0" diagonalDown="0" outline="0">
        <left style="thin">
          <color theme="9"/>
        </left>
        <right style="thin">
          <color theme="9"/>
        </right>
        <top/>
        <bottom/>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border diagonalUp="0" diagonalDown="0" outline="0">
        <left/>
        <right/>
        <top style="thin">
          <color theme="9"/>
        </top>
        <bottom style="thin">
          <color theme="9"/>
        </bottom>
      </border>
    </dxf>
    <dxf>
      <font>
        <b val="0"/>
        <i val="0"/>
        <strike val="0"/>
        <condense val="0"/>
        <extend val="0"/>
        <outline val="0"/>
        <shadow val="0"/>
        <u val="none"/>
        <vertAlign val="baseline"/>
        <sz val="11"/>
        <color theme="9" tint="-0.249977111117893"/>
        <name val="Calibri"/>
        <family val="2"/>
        <scheme val="minor"/>
      </font>
      <numFmt numFmtId="19" formatCode="dd/mm/yyyy"/>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border diagonalUp="0" diagonalDown="0" outline="0">
        <left/>
        <right/>
        <top style="thin">
          <color theme="9"/>
        </top>
        <bottom style="thin">
          <color theme="9"/>
        </bottom>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border diagonalUp="0" diagonalDown="0">
        <left/>
        <right/>
        <top style="thin">
          <color theme="9"/>
        </top>
        <bottom style="thin">
          <color theme="9"/>
        </bottom>
        <vertical/>
        <horizontal/>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border diagonalUp="0" diagonalDown="0">
        <left/>
        <right/>
        <top style="thin">
          <color theme="9"/>
        </top>
        <bottom style="thin">
          <color theme="9"/>
        </bottom>
        <vertical/>
        <horizontal/>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border diagonalUp="0" diagonalDown="0">
        <left/>
        <right/>
        <top style="thin">
          <color theme="9"/>
        </top>
        <bottom style="thin">
          <color theme="9"/>
        </bottom>
        <vertical/>
        <horizontal/>
      </border>
    </dxf>
    <dxf>
      <border outline="0">
        <top style="thin">
          <color theme="9"/>
        </top>
      </border>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dxf>
    <dxf>
      <border outline="0">
        <bottom style="thin">
          <color theme="9"/>
        </bottom>
      </border>
    </dxf>
    <dxf>
      <font>
        <b/>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numFmt numFmtId="164" formatCode="_-[$£-809]* #,##0.00_-;\-[$£-809]* #,##0.00_-;_-[$£-809]* &quot;-&quot;??_-;_-@_-"/>
    </dxf>
    <dxf>
      <font>
        <b val="0"/>
        <i val="0"/>
        <strike val="0"/>
        <condense val="0"/>
        <extend val="0"/>
        <outline val="0"/>
        <shadow val="0"/>
        <u val="none"/>
        <vertAlign val="baseline"/>
        <sz val="11"/>
        <color rgb="FF52796F"/>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9" tint="-0.249977111117893"/>
        <name val="Calibri"/>
        <family val="2"/>
        <scheme val="minor"/>
      </font>
      <numFmt numFmtId="2" formatCode="0.00"/>
      <alignment horizontal="right" vertical="bottom" textRotation="0" wrapText="0" indent="0" justifyLastLine="0" shrinkToFit="0" readingOrder="0"/>
    </dxf>
    <dxf>
      <font>
        <color theme="9" tint="-0.249977111117893"/>
      </font>
      <alignment horizontal="general" vertical="center" textRotation="0" wrapText="1" indent="0" justifyLastLine="0" shrinkToFit="0" readingOrder="0"/>
    </dxf>
    <dxf>
      <font>
        <b val="0"/>
        <i val="0"/>
        <strike val="0"/>
        <condense val="0"/>
        <extend val="0"/>
        <outline val="0"/>
        <shadow val="0"/>
        <u val="none"/>
        <vertAlign val="baseline"/>
        <sz val="11"/>
        <color theme="9" tint="-0.249977111117893"/>
        <name val="Calibri"/>
        <family val="2"/>
        <scheme val="minor"/>
      </font>
      <numFmt numFmtId="34" formatCode="_-&quot;£&quot;* #,##0.00_-;\-&quot;£&quot;* #,##0.00_-;_-&quot;£&quot;* &quot;-&quot;??_-;_-@_-"/>
      <fill>
        <patternFill patternType="solid">
          <fgColor theme="9" tint="0.79998168889431442"/>
          <bgColor theme="9" tint="0.79998168889431442"/>
        </patternFill>
      </fill>
    </dxf>
    <dxf>
      <font>
        <b val="0"/>
        <i val="0"/>
        <strike val="0"/>
        <condense val="0"/>
        <extend val="0"/>
        <outline val="0"/>
        <shadow val="0"/>
        <u val="none"/>
        <vertAlign val="baseline"/>
        <sz val="11"/>
        <color theme="9" tint="-0.249977111117893"/>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1"/>
        <color theme="9" tint="-0.249977111117893"/>
        <name val="Calibri"/>
        <family val="2"/>
        <scheme val="minor"/>
      </font>
      <numFmt numFmtId="19" formatCode="dd/mm/yyyy"/>
      <alignment horizontal="center" textRotation="0" wrapText="0" indent="0" justifyLastLine="0" shrinkToFit="0" readingOrder="0"/>
    </dxf>
    <dxf>
      <font>
        <b val="0"/>
        <i val="0"/>
        <strike val="0"/>
        <condense val="0"/>
        <extend val="0"/>
        <outline val="0"/>
        <shadow val="0"/>
        <u val="none"/>
        <vertAlign val="baseline"/>
        <sz val="11"/>
        <color theme="9" tint="-0.249977111117893"/>
        <name val="Calibri"/>
        <family val="2"/>
        <scheme val="minor"/>
      </font>
      <numFmt numFmtId="164" formatCode="_-[$£-809]* #,##0.00_-;\-[$£-809]* #,##0.00_-;_-[$£-809]* &quot;-&quot;??_-;_-@_-"/>
      <alignment horizontal="general" vertical="center" textRotation="0" wrapText="1" indent="0" justifyLastLine="0" shrinkToFit="0" readingOrder="0"/>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numFmt numFmtId="1" formatCode="0"/>
      <fill>
        <patternFill patternType="solid">
          <fgColor theme="9" tint="0.79998168889431442"/>
          <bgColor theme="9" tint="0.79998168889431442"/>
        </patternFill>
      </fill>
    </dxf>
    <dxf>
      <font>
        <b val="0"/>
        <i val="0"/>
        <strike val="0"/>
        <condense val="0"/>
        <extend val="0"/>
        <outline val="0"/>
        <shadow val="0"/>
        <u val="none"/>
        <vertAlign val="baseline"/>
        <sz val="11"/>
        <color theme="9" tint="-0.249977111117893"/>
        <name val="Calibri"/>
        <family val="2"/>
        <scheme val="minor"/>
      </font>
      <fill>
        <patternFill patternType="solid">
          <fgColor theme="9" tint="0.79998168889431442"/>
          <bgColor theme="9" tint="0.79998168889431442"/>
        </patternFill>
      </fill>
    </dxf>
    <dxf>
      <font>
        <color theme="9" tint="-0.249977111117893"/>
      </font>
      <alignment horizontal="center" vertical="center" textRotation="0" wrapText="1" indent="0" justifyLastLine="0" shrinkToFit="0" readingOrder="0"/>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9" tint="-0.249977111117893"/>
        <name val="Calibri"/>
        <family val="2"/>
        <scheme val="minor"/>
      </font>
    </dxf>
    <dxf>
      <border outline="0">
        <bottom style="thin">
          <color theme="9"/>
        </bottom>
      </border>
    </dxf>
    <dxf>
      <border outline="0">
        <bottom style="thin">
          <color theme="9"/>
        </bottom>
      </border>
    </dxf>
    <dxf>
      <font>
        <b/>
        <i val="0"/>
        <strike val="0"/>
        <condense val="0"/>
        <extend val="0"/>
        <outline val="0"/>
        <shadow val="0"/>
        <u val="none"/>
        <vertAlign val="baseline"/>
        <sz val="11"/>
        <color theme="9" tint="-0.249977111117893"/>
        <name val="Calibri"/>
        <family val="2"/>
        <scheme val="minor"/>
      </font>
    </dxf>
  </dxfs>
  <tableStyles count="0" defaultTableStyle="TableStyleMedium2" defaultPivotStyle="PivotStyleLight16"/>
  <colors>
    <mruColors>
      <color rgb="FF52796F"/>
      <color rgb="FF354F52"/>
      <color rgb="FF2F3E46"/>
      <color rgb="FF84A98C"/>
      <color rgb="FFDAEB3D"/>
      <color rgb="FFCAD2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3/09/relationships/Python" Target="pyth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79010311995519"/>
          <c:y val="8.5380515108259114E-2"/>
          <c:w val="0.78949999450905461"/>
          <c:h val="0.71545365657145255"/>
        </c:manualLayout>
      </c:layout>
      <c:barChart>
        <c:barDir val="bar"/>
        <c:grouping val="clustered"/>
        <c:varyColors val="0"/>
        <c:ser>
          <c:idx val="0"/>
          <c:order val="0"/>
          <c:spPr>
            <a:solidFill>
              <a:srgbClr val="84A98C"/>
            </a:solidFill>
            <a:ln>
              <a:noFill/>
            </a:ln>
            <a:effectLst/>
          </c:spPr>
          <c:invertIfNegative val="0"/>
          <c:cat>
            <c:strRef>
              <c:f>'Product Form'!$AE$25:$AE$27</c:f>
              <c:strCache>
                <c:ptCount val="3"/>
                <c:pt idx="0">
                  <c:v>Issue</c:v>
                </c:pt>
                <c:pt idx="1">
                  <c:v>Receipt</c:v>
                </c:pt>
                <c:pt idx="2">
                  <c:v>Adjustment</c:v>
                </c:pt>
              </c:strCache>
            </c:strRef>
          </c:cat>
          <c:val>
            <c:numRef>
              <c:f>'Product Form'!$AF$25:$AF$27</c:f>
              <c:numCache>
                <c:formatCode>General</c:formatCode>
                <c:ptCount val="3"/>
                <c:pt idx="0">
                  <c:v>0</c:v>
                </c:pt>
                <c:pt idx="1">
                  <c:v>0</c:v>
                </c:pt>
                <c:pt idx="2">
                  <c:v>0</c:v>
                </c:pt>
              </c:numCache>
            </c:numRef>
          </c:val>
          <c:extLst>
            <c:ext xmlns:c16="http://schemas.microsoft.com/office/drawing/2014/chart" uri="{C3380CC4-5D6E-409C-BE32-E72D297353CC}">
              <c16:uniqueId val="{00000000-337E-4F2E-BA33-278148DCB850}"/>
            </c:ext>
          </c:extLst>
        </c:ser>
        <c:dLbls>
          <c:showLegendKey val="0"/>
          <c:showVal val="0"/>
          <c:showCatName val="0"/>
          <c:showSerName val="0"/>
          <c:showPercent val="0"/>
          <c:showBubbleSize val="0"/>
        </c:dLbls>
        <c:gapWidth val="50"/>
        <c:axId val="1489790303"/>
        <c:axId val="1489792223"/>
      </c:barChart>
      <c:catAx>
        <c:axId val="148979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89792223"/>
        <c:crosses val="autoZero"/>
        <c:auto val="1"/>
        <c:lblAlgn val="ctr"/>
        <c:lblOffset val="100"/>
        <c:noMultiLvlLbl val="0"/>
      </c:catAx>
      <c:valAx>
        <c:axId val="14897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897903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lient Form'!A1"/><Relationship Id="rId13" Type="http://schemas.openxmlformats.org/officeDocument/2006/relationships/image" Target="../media/image9.svg"/><Relationship Id="rId18" Type="http://schemas.openxmlformats.org/officeDocument/2006/relationships/image" Target="../media/image13.png"/><Relationship Id="rId3" Type="http://schemas.openxmlformats.org/officeDocument/2006/relationships/hyperlink" Target="#Home!A1"/><Relationship Id="rId7" Type="http://schemas.openxmlformats.org/officeDocument/2006/relationships/hyperlink" Target="#'Product Form'!A1"/><Relationship Id="rId12" Type="http://schemas.openxmlformats.org/officeDocument/2006/relationships/image" Target="../media/image8.png"/><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hyperlink" Target="#'Database &amp; Calc'!A1"/><Relationship Id="rId5" Type="http://schemas.openxmlformats.org/officeDocument/2006/relationships/image" Target="../media/image4.svg"/><Relationship Id="rId15" Type="http://schemas.openxmlformats.org/officeDocument/2006/relationships/image" Target="../media/image10.png"/><Relationship Id="rId10" Type="http://schemas.openxmlformats.org/officeDocument/2006/relationships/image" Target="../media/image7.sv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hyperlink" Target="#Reports!A1"/></Relationships>
</file>

<file path=xl/drawings/_rels/drawing2.xml.rels><?xml version="1.0" encoding="UTF-8" standalone="yes"?>
<Relationships xmlns="http://schemas.openxmlformats.org/package/2006/relationships"><Relationship Id="rId8" Type="http://schemas.openxmlformats.org/officeDocument/2006/relationships/hyperlink" Target="#'Client Form'!A1"/><Relationship Id="rId13" Type="http://schemas.openxmlformats.org/officeDocument/2006/relationships/hyperlink" Target="#Home!A1"/><Relationship Id="rId18" Type="http://schemas.openxmlformats.org/officeDocument/2006/relationships/image" Target="../media/image10.png"/><Relationship Id="rId3" Type="http://schemas.openxmlformats.org/officeDocument/2006/relationships/image" Target="../media/image16.png"/><Relationship Id="rId7" Type="http://schemas.openxmlformats.org/officeDocument/2006/relationships/hyperlink" Target="#'Database &amp; Calc'!A1"/><Relationship Id="rId12" Type="http://schemas.openxmlformats.org/officeDocument/2006/relationships/image" Target="../media/image20.svg"/><Relationship Id="rId17" Type="http://schemas.openxmlformats.org/officeDocument/2006/relationships/hyperlink" Target="#Reports!A1"/><Relationship Id="rId2" Type="http://schemas.openxmlformats.org/officeDocument/2006/relationships/image" Target="../media/image15.svg"/><Relationship Id="rId16" Type="http://schemas.openxmlformats.org/officeDocument/2006/relationships/chart" Target="../charts/chart1.xml"/><Relationship Id="rId1" Type="http://schemas.openxmlformats.org/officeDocument/2006/relationships/image" Target="../media/image14.png"/><Relationship Id="rId6" Type="http://schemas.openxmlformats.org/officeDocument/2006/relationships/image" Target="../media/image9.svg"/><Relationship Id="rId11" Type="http://schemas.openxmlformats.org/officeDocument/2006/relationships/hyperlink" Target="#'Product Form'!A1"/><Relationship Id="rId5" Type="http://schemas.openxmlformats.org/officeDocument/2006/relationships/image" Target="../media/image8.png"/><Relationship Id="rId15" Type="http://schemas.openxmlformats.org/officeDocument/2006/relationships/image" Target="../media/image22.svg"/><Relationship Id="rId10" Type="http://schemas.openxmlformats.org/officeDocument/2006/relationships/image" Target="../media/image19.svg"/><Relationship Id="rId19" Type="http://schemas.openxmlformats.org/officeDocument/2006/relationships/image" Target="../media/image11.svg"/><Relationship Id="rId4" Type="http://schemas.openxmlformats.org/officeDocument/2006/relationships/image" Target="../media/image17.svg"/><Relationship Id="rId9" Type="http://schemas.openxmlformats.org/officeDocument/2006/relationships/image" Target="../media/image18.png"/><Relationship Id="rId14" Type="http://schemas.openxmlformats.org/officeDocument/2006/relationships/image" Target="../media/image2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23.png"/><Relationship Id="rId7" Type="http://schemas.openxmlformats.org/officeDocument/2006/relationships/hyperlink" Target="#Reports!A1"/><Relationship Id="rId12" Type="http://schemas.openxmlformats.org/officeDocument/2006/relationships/image" Target="../media/image22.svg"/><Relationship Id="rId2" Type="http://schemas.openxmlformats.org/officeDocument/2006/relationships/hyperlink" Target="#'Database &amp; Calc'!A1"/><Relationship Id="rId1" Type="http://schemas.openxmlformats.org/officeDocument/2006/relationships/hyperlink" Target="#'Product Form'!A1"/><Relationship Id="rId6" Type="http://schemas.openxmlformats.org/officeDocument/2006/relationships/image" Target="../media/image7.svg"/><Relationship Id="rId11" Type="http://schemas.openxmlformats.org/officeDocument/2006/relationships/image" Target="../media/image21.png"/><Relationship Id="rId5" Type="http://schemas.openxmlformats.org/officeDocument/2006/relationships/image" Target="../media/image6.png"/><Relationship Id="rId10" Type="http://schemas.openxmlformats.org/officeDocument/2006/relationships/hyperlink" Target="#Home!A1"/><Relationship Id="rId4" Type="http://schemas.openxmlformats.org/officeDocument/2006/relationships/image" Target="../media/image24.svg"/><Relationship Id="rId9" Type="http://schemas.openxmlformats.org/officeDocument/2006/relationships/image" Target="../media/image11.svg"/></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7.svg"/><Relationship Id="rId3" Type="http://schemas.openxmlformats.org/officeDocument/2006/relationships/hyperlink" Target="#'Database &amp; Calc'!A1"/><Relationship Id="rId7" Type="http://schemas.openxmlformats.org/officeDocument/2006/relationships/hyperlink" Target="#Reports!A1"/><Relationship Id="rId12" Type="http://schemas.openxmlformats.org/officeDocument/2006/relationships/image" Target="../media/image6.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22.svg"/><Relationship Id="rId11" Type="http://schemas.openxmlformats.org/officeDocument/2006/relationships/hyperlink" Target="#'Client Form'!A1"/><Relationship Id="rId5" Type="http://schemas.openxmlformats.org/officeDocument/2006/relationships/image" Target="../media/image21.png"/><Relationship Id="rId10" Type="http://schemas.openxmlformats.org/officeDocument/2006/relationships/hyperlink" Target="#'Product Form'!A1"/><Relationship Id="rId4" Type="http://schemas.openxmlformats.org/officeDocument/2006/relationships/hyperlink" Target="#Home!A1"/><Relationship Id="rId9" Type="http://schemas.openxmlformats.org/officeDocument/2006/relationships/image" Target="../media/image25.svg"/></Relationships>
</file>

<file path=xl/drawings/drawing1.xml><?xml version="1.0" encoding="utf-8"?>
<xdr:wsDr xmlns:xdr="http://schemas.openxmlformats.org/drawingml/2006/spreadsheetDrawing" xmlns:a="http://schemas.openxmlformats.org/drawingml/2006/main">
  <xdr:twoCellAnchor>
    <xdr:from>
      <xdr:col>3</xdr:col>
      <xdr:colOff>139210</xdr:colOff>
      <xdr:row>1</xdr:row>
      <xdr:rowOff>3133</xdr:rowOff>
    </xdr:from>
    <xdr:to>
      <xdr:col>3</xdr:col>
      <xdr:colOff>457199</xdr:colOff>
      <xdr:row>41</xdr:row>
      <xdr:rowOff>155533</xdr:rowOff>
    </xdr:to>
    <xdr:sp macro="" textlink="">
      <xdr:nvSpPr>
        <xdr:cNvPr id="16" name="Rectangle 15">
          <a:extLst>
            <a:ext uri="{FF2B5EF4-FFF2-40B4-BE49-F238E27FC236}">
              <a16:creationId xmlns:a16="http://schemas.microsoft.com/office/drawing/2014/main" id="{6B9E1BD6-754E-4DC1-B2DB-7844E48EDDDD}"/>
            </a:ext>
          </a:extLst>
        </xdr:cNvPr>
        <xdr:cNvSpPr/>
      </xdr:nvSpPr>
      <xdr:spPr>
        <a:xfrm>
          <a:off x="1968010" y="622258"/>
          <a:ext cx="317989" cy="10753725"/>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593683</xdr:rowOff>
    </xdr:from>
    <xdr:to>
      <xdr:col>3</xdr:col>
      <xdr:colOff>152400</xdr:colOff>
      <xdr:row>41</xdr:row>
      <xdr:rowOff>126958</xdr:rowOff>
    </xdr:to>
    <xdr:sp macro="" textlink="">
      <xdr:nvSpPr>
        <xdr:cNvPr id="7" name="Rectangle 6">
          <a:extLst>
            <a:ext uri="{FF2B5EF4-FFF2-40B4-BE49-F238E27FC236}">
              <a16:creationId xmlns:a16="http://schemas.microsoft.com/office/drawing/2014/main" id="{F6F8DAA3-936B-4581-A3DD-518331DB6629}"/>
            </a:ext>
          </a:extLst>
        </xdr:cNvPr>
        <xdr:cNvSpPr/>
      </xdr:nvSpPr>
      <xdr:spPr>
        <a:xfrm>
          <a:off x="0" y="593683"/>
          <a:ext cx="1981200" cy="10744200"/>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609600</xdr:rowOff>
    </xdr:from>
    <xdr:to>
      <xdr:col>3</xdr:col>
      <xdr:colOff>152400</xdr:colOff>
      <xdr:row>38</xdr:row>
      <xdr:rowOff>111167</xdr:rowOff>
    </xdr:to>
    <xdr:sp macro="" textlink="">
      <xdr:nvSpPr>
        <xdr:cNvPr id="70" name="Rectangle 69">
          <a:extLst>
            <a:ext uri="{FF2B5EF4-FFF2-40B4-BE49-F238E27FC236}">
              <a16:creationId xmlns:a16="http://schemas.microsoft.com/office/drawing/2014/main" id="{1292FDD8-E956-415B-83D2-5C080941AEC1}"/>
            </a:ext>
          </a:extLst>
        </xdr:cNvPr>
        <xdr:cNvSpPr/>
      </xdr:nvSpPr>
      <xdr:spPr>
        <a:xfrm>
          <a:off x="0" y="609600"/>
          <a:ext cx="1981200" cy="1008384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148735</xdr:colOff>
      <xdr:row>1</xdr:row>
      <xdr:rowOff>1</xdr:rowOff>
    </xdr:from>
    <xdr:to>
      <xdr:col>3</xdr:col>
      <xdr:colOff>466724</xdr:colOff>
      <xdr:row>38</xdr:row>
      <xdr:rowOff>92118</xdr:rowOff>
    </xdr:to>
    <xdr:sp macro="" textlink="">
      <xdr:nvSpPr>
        <xdr:cNvPr id="90" name="Rectangle 89">
          <a:extLst>
            <a:ext uri="{FF2B5EF4-FFF2-40B4-BE49-F238E27FC236}">
              <a16:creationId xmlns:a16="http://schemas.microsoft.com/office/drawing/2014/main" id="{4DB658CA-42DB-4FD1-B828-3C5C05A9E001}"/>
            </a:ext>
          </a:extLst>
        </xdr:cNvPr>
        <xdr:cNvSpPr/>
      </xdr:nvSpPr>
      <xdr:spPr>
        <a:xfrm>
          <a:off x="1977535" y="619126"/>
          <a:ext cx="317989" cy="10055267"/>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133350</xdr:colOff>
      <xdr:row>39</xdr:row>
      <xdr:rowOff>177508</xdr:rowOff>
    </xdr:from>
    <xdr:to>
      <xdr:col>10</xdr:col>
      <xdr:colOff>1727987</xdr:colOff>
      <xdr:row>49</xdr:row>
      <xdr:rowOff>69332</xdr:rowOff>
    </xdr:to>
    <xdr:pic>
      <xdr:nvPicPr>
        <xdr:cNvPr id="53" name="Picture 52">
          <a:extLst>
            <a:ext uri="{FF2B5EF4-FFF2-40B4-BE49-F238E27FC236}">
              <a16:creationId xmlns:a16="http://schemas.microsoft.com/office/drawing/2014/main" id="{1138699C-6AD1-4495-97B2-DC8208FC8083}"/>
            </a:ext>
          </a:extLst>
        </xdr:cNvPr>
        <xdr:cNvPicPr>
          <a:picLocks noChangeAspect="1"/>
        </xdr:cNvPicPr>
      </xdr:nvPicPr>
      <xdr:blipFill>
        <a:blip xmlns:r="http://schemas.openxmlformats.org/officeDocument/2006/relationships" r:embed="rId1"/>
        <a:stretch>
          <a:fillRect/>
        </a:stretch>
      </xdr:blipFill>
      <xdr:spPr>
        <a:xfrm>
          <a:off x="3337214" y="10897463"/>
          <a:ext cx="5924182" cy="1970005"/>
        </a:xfrm>
        <a:prstGeom prst="rect">
          <a:avLst/>
        </a:prstGeom>
      </xdr:spPr>
    </xdr:pic>
    <xdr:clientData/>
  </xdr:twoCellAnchor>
  <xdr:twoCellAnchor editAs="oneCell">
    <xdr:from>
      <xdr:col>6</xdr:col>
      <xdr:colOff>733425</xdr:colOff>
      <xdr:row>15</xdr:row>
      <xdr:rowOff>95250</xdr:rowOff>
    </xdr:from>
    <xdr:to>
      <xdr:col>10</xdr:col>
      <xdr:colOff>2451206</xdr:colOff>
      <xdr:row>31</xdr:row>
      <xdr:rowOff>123825</xdr:rowOff>
    </xdr:to>
    <xdr:pic>
      <xdr:nvPicPr>
        <xdr:cNvPr id="39" name="Picture 38">
          <a:extLst>
            <a:ext uri="{FF2B5EF4-FFF2-40B4-BE49-F238E27FC236}">
              <a16:creationId xmlns:a16="http://schemas.microsoft.com/office/drawing/2014/main" id="{6ED72F73-9A80-75E0-04CA-7E9C8D6CB05E}"/>
            </a:ext>
          </a:extLst>
        </xdr:cNvPr>
        <xdr:cNvPicPr>
          <a:picLocks noChangeAspect="1"/>
        </xdr:cNvPicPr>
      </xdr:nvPicPr>
      <xdr:blipFill>
        <a:blip xmlns:r="http://schemas.openxmlformats.org/officeDocument/2006/relationships" r:embed="rId2"/>
        <a:stretch>
          <a:fillRect/>
        </a:stretch>
      </xdr:blipFill>
      <xdr:spPr>
        <a:xfrm>
          <a:off x="3952875" y="4514850"/>
          <a:ext cx="6051656" cy="4724400"/>
        </a:xfrm>
        <a:prstGeom prst="rect">
          <a:avLst/>
        </a:prstGeom>
      </xdr:spPr>
    </xdr:pic>
    <xdr:clientData/>
  </xdr:twoCellAnchor>
  <xdr:twoCellAnchor editAs="oneCell">
    <xdr:from>
      <xdr:col>6</xdr:col>
      <xdr:colOff>38100</xdr:colOff>
      <xdr:row>6</xdr:row>
      <xdr:rowOff>308201</xdr:rowOff>
    </xdr:from>
    <xdr:to>
      <xdr:col>10</xdr:col>
      <xdr:colOff>1632737</xdr:colOff>
      <xdr:row>14</xdr:row>
      <xdr:rowOff>180974</xdr:rowOff>
    </xdr:to>
    <xdr:pic>
      <xdr:nvPicPr>
        <xdr:cNvPr id="3" name="Picture 2">
          <a:extLst>
            <a:ext uri="{FF2B5EF4-FFF2-40B4-BE49-F238E27FC236}">
              <a16:creationId xmlns:a16="http://schemas.microsoft.com/office/drawing/2014/main" id="{13B73224-5E16-74B4-FB71-B3EAF1C9A0C1}"/>
            </a:ext>
          </a:extLst>
        </xdr:cNvPr>
        <xdr:cNvPicPr>
          <a:picLocks noChangeAspect="1"/>
        </xdr:cNvPicPr>
      </xdr:nvPicPr>
      <xdr:blipFill>
        <a:blip xmlns:r="http://schemas.openxmlformats.org/officeDocument/2006/relationships" r:embed="rId1"/>
        <a:stretch>
          <a:fillRect/>
        </a:stretch>
      </xdr:blipFill>
      <xdr:spPr>
        <a:xfrm>
          <a:off x="3231776" y="2302848"/>
          <a:ext cx="5931314" cy="2001891"/>
        </a:xfrm>
        <a:prstGeom prst="rect">
          <a:avLst/>
        </a:prstGeom>
      </xdr:spPr>
    </xdr:pic>
    <xdr:clientData/>
  </xdr:twoCellAnchor>
  <xdr:twoCellAnchor>
    <xdr:from>
      <xdr:col>0</xdr:col>
      <xdr:colOff>523875</xdr:colOff>
      <xdr:row>1</xdr:row>
      <xdr:rowOff>66675</xdr:rowOff>
    </xdr:from>
    <xdr:to>
      <xdr:col>4</xdr:col>
      <xdr:colOff>171451</xdr:colOff>
      <xdr:row>4</xdr:row>
      <xdr:rowOff>142875</xdr:rowOff>
    </xdr:to>
    <xdr:sp macro="" textlink="">
      <xdr:nvSpPr>
        <xdr:cNvPr id="77" name="Rectangle: Rounded Corners 76">
          <a:extLst>
            <a:ext uri="{FF2B5EF4-FFF2-40B4-BE49-F238E27FC236}">
              <a16:creationId xmlns:a16="http://schemas.microsoft.com/office/drawing/2014/main" id="{B1526453-3A81-9F74-3CE4-E3CFE1EBA738}"/>
            </a:ext>
          </a:extLst>
        </xdr:cNvPr>
        <xdr:cNvSpPr/>
      </xdr:nvSpPr>
      <xdr:spPr>
        <a:xfrm>
          <a:off x="523875" y="685800"/>
          <a:ext cx="2085976"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600075</xdr:colOff>
      <xdr:row>1</xdr:row>
      <xdr:rowOff>114300</xdr:rowOff>
    </xdr:from>
    <xdr:to>
      <xdr:col>4</xdr:col>
      <xdr:colOff>438149</xdr:colOff>
      <xdr:row>4</xdr:row>
      <xdr:rowOff>152400</xdr:rowOff>
    </xdr:to>
    <xdr:grpSp>
      <xdr:nvGrpSpPr>
        <xdr:cNvPr id="67" name="Group 66">
          <a:hlinkClick xmlns:r="http://schemas.openxmlformats.org/officeDocument/2006/relationships" r:id="rId3"/>
          <a:extLst>
            <a:ext uri="{FF2B5EF4-FFF2-40B4-BE49-F238E27FC236}">
              <a16:creationId xmlns:a16="http://schemas.microsoft.com/office/drawing/2014/main" id="{3D1E2F35-A67E-4525-961C-8EF140471567}"/>
            </a:ext>
          </a:extLst>
        </xdr:cNvPr>
        <xdr:cNvGrpSpPr/>
      </xdr:nvGrpSpPr>
      <xdr:grpSpPr>
        <a:xfrm>
          <a:off x="600075" y="733425"/>
          <a:ext cx="2276474" cy="657225"/>
          <a:chOff x="190500" y="1273154"/>
          <a:chExt cx="2247899" cy="657225"/>
        </a:xfrm>
      </xdr:grpSpPr>
      <xdr:sp macro="" textlink="">
        <xdr:nvSpPr>
          <xdr:cNvPr id="68" name="Rectangle 67">
            <a:hlinkClick xmlns:r="http://schemas.openxmlformats.org/officeDocument/2006/relationships" r:id="rId3"/>
            <a:extLst>
              <a:ext uri="{FF2B5EF4-FFF2-40B4-BE49-F238E27FC236}">
                <a16:creationId xmlns:a16="http://schemas.microsoft.com/office/drawing/2014/main" id="{A85E3D5A-BCC2-D95B-DC90-648385A90093}"/>
              </a:ext>
            </a:extLst>
          </xdr:cNvPr>
          <xdr:cNvSpPr/>
        </xdr:nvSpPr>
        <xdr:spPr>
          <a:xfrm>
            <a:off x="200145" y="1273154"/>
            <a:ext cx="2238254"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rgbClr val="354F52"/>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rgbClr val="354F52"/>
                </a:solidFill>
                <a:latin typeface="+mn-lt"/>
                <a:ea typeface="ADLaM Display" panose="02010000000000000000" pitchFamily="2" charset="0"/>
                <a:cs typeface="ADLaM Display" panose="02010000000000000000" pitchFamily="2" charset="0"/>
              </a:rPr>
              <a:t>Home</a:t>
            </a:r>
            <a:endParaRPr lang="en-GB" sz="1100" b="1">
              <a:solidFill>
                <a:srgbClr val="354F52"/>
              </a:solidFill>
              <a:latin typeface="+mn-lt"/>
              <a:ea typeface="ADLaM Display" panose="02010000000000000000" pitchFamily="2" charset="0"/>
              <a:cs typeface="ADLaM Display" panose="02010000000000000000" pitchFamily="2" charset="0"/>
            </a:endParaRPr>
          </a:p>
        </xdr:txBody>
      </xdr:sp>
      <xdr:pic>
        <xdr:nvPicPr>
          <xdr:cNvPr id="69" name="Graphic 68" descr="Home with solid fill">
            <a:extLst>
              <a:ext uri="{FF2B5EF4-FFF2-40B4-BE49-F238E27FC236}">
                <a16:creationId xmlns:a16="http://schemas.microsoft.com/office/drawing/2014/main" id="{07F6D656-1D6E-C3D5-0619-C965395D151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0500" y="1333500"/>
            <a:ext cx="466455" cy="466725"/>
          </a:xfrm>
          <a:prstGeom prst="rect">
            <a:avLst/>
          </a:prstGeom>
        </xdr:spPr>
      </xdr:pic>
    </xdr:grpSp>
    <xdr:clientData/>
  </xdr:twoCellAnchor>
  <xdr:twoCellAnchor>
    <xdr:from>
      <xdr:col>6</xdr:col>
      <xdr:colOff>322727</xdr:colOff>
      <xdr:row>8</xdr:row>
      <xdr:rowOff>161364</xdr:rowOff>
    </xdr:from>
    <xdr:to>
      <xdr:col>7</xdr:col>
      <xdr:colOff>1560978</xdr:colOff>
      <xdr:row>12</xdr:row>
      <xdr:rowOff>18489</xdr:rowOff>
    </xdr:to>
    <xdr:sp macro="" textlink="">
      <xdr:nvSpPr>
        <xdr:cNvPr id="85" name="Oval 84">
          <a:extLst>
            <a:ext uri="{FF2B5EF4-FFF2-40B4-BE49-F238E27FC236}">
              <a16:creationId xmlns:a16="http://schemas.microsoft.com/office/drawing/2014/main" id="{AC8628FC-23DD-4CB8-7E5C-0ED0BC1BC6F7}"/>
            </a:ext>
          </a:extLst>
        </xdr:cNvPr>
        <xdr:cNvSpPr/>
      </xdr:nvSpPr>
      <xdr:spPr>
        <a:xfrm>
          <a:off x="3516403" y="2705099"/>
          <a:ext cx="2022663" cy="910478"/>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7</xdr:col>
      <xdr:colOff>1085850</xdr:colOff>
      <xdr:row>1</xdr:row>
      <xdr:rowOff>85725</xdr:rowOff>
    </xdr:from>
    <xdr:ext cx="2414187" cy="468013"/>
    <xdr:sp macro="" textlink="">
      <xdr:nvSpPr>
        <xdr:cNvPr id="2" name="TextBox 1">
          <a:extLst>
            <a:ext uri="{FF2B5EF4-FFF2-40B4-BE49-F238E27FC236}">
              <a16:creationId xmlns:a16="http://schemas.microsoft.com/office/drawing/2014/main" id="{416F87F9-5C3D-C465-BAA0-4EAD5587CF93}"/>
            </a:ext>
          </a:extLst>
        </xdr:cNvPr>
        <xdr:cNvSpPr txBox="1"/>
      </xdr:nvSpPr>
      <xdr:spPr>
        <a:xfrm>
          <a:off x="5063938" y="702049"/>
          <a:ext cx="241418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rgbClr val="2F3E46"/>
              </a:solidFill>
            </a:rPr>
            <a:t>Finding a Product</a:t>
          </a:r>
        </a:p>
      </xdr:txBody>
    </xdr:sp>
    <xdr:clientData/>
  </xdr:oneCellAnchor>
  <xdr:twoCellAnchor>
    <xdr:from>
      <xdr:col>7</xdr:col>
      <xdr:colOff>428624</xdr:colOff>
      <xdr:row>4</xdr:row>
      <xdr:rowOff>152400</xdr:rowOff>
    </xdr:from>
    <xdr:to>
      <xdr:col>10</xdr:col>
      <xdr:colOff>314324</xdr:colOff>
      <xdr:row>8</xdr:row>
      <xdr:rowOff>114300</xdr:rowOff>
    </xdr:to>
    <xdr:sp macro="" textlink="">
      <xdr:nvSpPr>
        <xdr:cNvPr id="4" name="Speech Bubble: Oval 3">
          <a:extLst>
            <a:ext uri="{FF2B5EF4-FFF2-40B4-BE49-F238E27FC236}">
              <a16:creationId xmlns:a16="http://schemas.microsoft.com/office/drawing/2014/main" id="{5E1ADB3B-7F9D-B6C7-B39D-FCEA22CA6B88}"/>
            </a:ext>
          </a:extLst>
        </xdr:cNvPr>
        <xdr:cNvSpPr/>
      </xdr:nvSpPr>
      <xdr:spPr>
        <a:xfrm>
          <a:off x="4429124" y="1390650"/>
          <a:ext cx="3438525" cy="1257300"/>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Type </a:t>
          </a:r>
          <a:r>
            <a:rPr lang="en-GB" sz="1100" baseline="0">
              <a:solidFill>
                <a:srgbClr val="354F52"/>
              </a:solidFill>
            </a:rPr>
            <a:t>the first letters of the name and choose form the drop down. If the Product field is empty the dropdown will contain all products</a:t>
          </a:r>
          <a:endParaRPr lang="en-GB" sz="1100">
            <a:solidFill>
              <a:srgbClr val="354F52"/>
            </a:solidFill>
          </a:endParaRPr>
        </a:p>
      </xdr:txBody>
    </xdr:sp>
    <xdr:clientData/>
  </xdr:twoCellAnchor>
  <xdr:twoCellAnchor>
    <xdr:from>
      <xdr:col>10</xdr:col>
      <xdr:colOff>476249</xdr:colOff>
      <xdr:row>4</xdr:row>
      <xdr:rowOff>371475</xdr:rowOff>
    </xdr:from>
    <xdr:to>
      <xdr:col>11</xdr:col>
      <xdr:colOff>133350</xdr:colOff>
      <xdr:row>7</xdr:row>
      <xdr:rowOff>161925</xdr:rowOff>
    </xdr:to>
    <xdr:sp macro="" textlink="">
      <xdr:nvSpPr>
        <xdr:cNvPr id="6" name="Speech Bubble: Oval 5">
          <a:extLst>
            <a:ext uri="{FF2B5EF4-FFF2-40B4-BE49-F238E27FC236}">
              <a16:creationId xmlns:a16="http://schemas.microsoft.com/office/drawing/2014/main" id="{BB40AC86-E634-46CB-A9CB-3ADF9AA033E5}"/>
            </a:ext>
          </a:extLst>
        </xdr:cNvPr>
        <xdr:cNvSpPr/>
      </xdr:nvSpPr>
      <xdr:spPr>
        <a:xfrm>
          <a:off x="8029574" y="1609725"/>
          <a:ext cx="2200276" cy="876300"/>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Once a product</a:t>
          </a:r>
          <a:r>
            <a:rPr lang="en-GB" sz="1100" baseline="0">
              <a:solidFill>
                <a:srgbClr val="354F52"/>
              </a:solidFill>
            </a:rPr>
            <a:t> has been selected press the 'find' button</a:t>
          </a:r>
          <a:endParaRPr lang="en-GB" sz="1100">
            <a:solidFill>
              <a:srgbClr val="354F52"/>
            </a:solidFill>
          </a:endParaRPr>
        </a:p>
      </xdr:txBody>
    </xdr:sp>
    <xdr:clientData/>
  </xdr:twoCellAnchor>
  <xdr:twoCellAnchor>
    <xdr:from>
      <xdr:col>7</xdr:col>
      <xdr:colOff>1704975</xdr:colOff>
      <xdr:row>14</xdr:row>
      <xdr:rowOff>295275</xdr:rowOff>
    </xdr:from>
    <xdr:to>
      <xdr:col>10</xdr:col>
      <xdr:colOff>838200</xdr:colOff>
      <xdr:row>16</xdr:row>
      <xdr:rowOff>790575</xdr:rowOff>
    </xdr:to>
    <xdr:sp macro="" textlink="">
      <xdr:nvSpPr>
        <xdr:cNvPr id="9" name="Speech Bubble: Oval 8">
          <a:extLst>
            <a:ext uri="{FF2B5EF4-FFF2-40B4-BE49-F238E27FC236}">
              <a16:creationId xmlns:a16="http://schemas.microsoft.com/office/drawing/2014/main" id="{7E6C2599-52F6-430F-90A2-5A93BE5F11D0}"/>
            </a:ext>
          </a:extLst>
        </xdr:cNvPr>
        <xdr:cNvSpPr/>
      </xdr:nvSpPr>
      <xdr:spPr>
        <a:xfrm>
          <a:off x="5705475" y="4400550"/>
          <a:ext cx="2686050" cy="1019175"/>
        </a:xfrm>
        <a:prstGeom prst="wedgeEllipseCallout">
          <a:avLst>
            <a:gd name="adj1" fmla="val -16652"/>
            <a:gd name="adj2" fmla="val 63619"/>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All</a:t>
          </a:r>
          <a:r>
            <a:rPr lang="en-GB" sz="1100" baseline="0">
              <a:solidFill>
                <a:srgbClr val="354F52"/>
              </a:solidFill>
            </a:rPr>
            <a:t> available details are displayed along with all transactions and KPIS. </a:t>
          </a:r>
          <a:endParaRPr lang="en-GB" sz="1100">
            <a:solidFill>
              <a:srgbClr val="354F52"/>
            </a:solidFill>
          </a:endParaRPr>
        </a:p>
      </xdr:txBody>
    </xdr:sp>
    <xdr:clientData/>
  </xdr:twoCellAnchor>
  <xdr:oneCellAnchor>
    <xdr:from>
      <xdr:col>18</xdr:col>
      <xdr:colOff>904873</xdr:colOff>
      <xdr:row>1</xdr:row>
      <xdr:rowOff>85725</xdr:rowOff>
    </xdr:from>
    <xdr:ext cx="2616165" cy="468013"/>
    <xdr:sp macro="" textlink="">
      <xdr:nvSpPr>
        <xdr:cNvPr id="10" name="TextBox 9">
          <a:extLst>
            <a:ext uri="{FF2B5EF4-FFF2-40B4-BE49-F238E27FC236}">
              <a16:creationId xmlns:a16="http://schemas.microsoft.com/office/drawing/2014/main" id="{E91FC575-7D89-43E9-B253-04681AA25105}"/>
            </a:ext>
          </a:extLst>
        </xdr:cNvPr>
        <xdr:cNvSpPr txBox="1"/>
      </xdr:nvSpPr>
      <xdr:spPr>
        <a:xfrm>
          <a:off x="13914902" y="702049"/>
          <a:ext cx="261616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GB" sz="2400" b="1">
              <a:solidFill>
                <a:srgbClr val="2F3E46"/>
              </a:solidFill>
              <a:latin typeface="+mn-lt"/>
              <a:ea typeface="+mn-ea"/>
              <a:cs typeface="+mn-cs"/>
            </a:rPr>
            <a:t>Add a new Product</a:t>
          </a:r>
        </a:p>
      </xdr:txBody>
    </xdr:sp>
    <xdr:clientData/>
  </xdr:oneCellAnchor>
  <xdr:twoCellAnchor>
    <xdr:from>
      <xdr:col>18</xdr:col>
      <xdr:colOff>33615</xdr:colOff>
      <xdr:row>3</xdr:row>
      <xdr:rowOff>82922</xdr:rowOff>
    </xdr:from>
    <xdr:to>
      <xdr:col>28</xdr:col>
      <xdr:colOff>372033</xdr:colOff>
      <xdr:row>24</xdr:row>
      <xdr:rowOff>156883</xdr:rowOff>
    </xdr:to>
    <xdr:grpSp>
      <xdr:nvGrpSpPr>
        <xdr:cNvPr id="99" name="Group 98">
          <a:extLst>
            <a:ext uri="{FF2B5EF4-FFF2-40B4-BE49-F238E27FC236}">
              <a16:creationId xmlns:a16="http://schemas.microsoft.com/office/drawing/2014/main" id="{8CD931F5-D71E-7DC9-C034-897A04906A22}"/>
            </a:ext>
          </a:extLst>
        </xdr:cNvPr>
        <xdr:cNvGrpSpPr/>
      </xdr:nvGrpSpPr>
      <xdr:grpSpPr>
        <a:xfrm>
          <a:off x="13082865" y="1121147"/>
          <a:ext cx="8139393" cy="6684311"/>
          <a:chOff x="13043644" y="1259541"/>
          <a:chExt cx="8115301" cy="6707843"/>
        </a:xfrm>
      </xdr:grpSpPr>
      <xdr:pic>
        <xdr:nvPicPr>
          <xdr:cNvPr id="95" name="Picture 94">
            <a:extLst>
              <a:ext uri="{FF2B5EF4-FFF2-40B4-BE49-F238E27FC236}">
                <a16:creationId xmlns:a16="http://schemas.microsoft.com/office/drawing/2014/main" id="{1DE5C9B8-9607-D2A6-B588-0E8D1F83314F}"/>
              </a:ext>
            </a:extLst>
          </xdr:cNvPr>
          <xdr:cNvPicPr>
            <a:picLocks noChangeAspect="1"/>
          </xdr:cNvPicPr>
        </xdr:nvPicPr>
        <xdr:blipFill>
          <a:blip xmlns:r="http://schemas.openxmlformats.org/officeDocument/2006/relationships" r:embed="rId6"/>
          <a:stretch>
            <a:fillRect/>
          </a:stretch>
        </xdr:blipFill>
        <xdr:spPr>
          <a:xfrm>
            <a:off x="13043644" y="2005855"/>
            <a:ext cx="7032519" cy="5961529"/>
          </a:xfrm>
          <a:prstGeom prst="rect">
            <a:avLst/>
          </a:prstGeom>
        </xdr:spPr>
      </xdr:pic>
      <xdr:sp macro="" textlink="">
        <xdr:nvSpPr>
          <xdr:cNvPr id="12" name="Speech Bubble: Oval 11">
            <a:extLst>
              <a:ext uri="{FF2B5EF4-FFF2-40B4-BE49-F238E27FC236}">
                <a16:creationId xmlns:a16="http://schemas.microsoft.com/office/drawing/2014/main" id="{9197161F-E395-4B58-AE04-14FDF418297B}"/>
              </a:ext>
            </a:extLst>
          </xdr:cNvPr>
          <xdr:cNvSpPr/>
        </xdr:nvSpPr>
        <xdr:spPr>
          <a:xfrm>
            <a:off x="15548159" y="1259541"/>
            <a:ext cx="3232898" cy="1272989"/>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Enter al the details you</a:t>
            </a:r>
            <a:r>
              <a:rPr lang="en-GB" sz="1100" baseline="0">
                <a:solidFill>
                  <a:srgbClr val="354F52"/>
                </a:solidFill>
              </a:rPr>
              <a:t> have. Qty on Hand, Stock Value and Qty to Order are automatically calculated from the Inventory Transactions</a:t>
            </a:r>
            <a:endParaRPr lang="en-GB" sz="1100">
              <a:solidFill>
                <a:srgbClr val="354F52"/>
              </a:solidFill>
            </a:endParaRPr>
          </a:p>
        </xdr:txBody>
      </xdr:sp>
      <xdr:sp macro="" textlink="">
        <xdr:nvSpPr>
          <xdr:cNvPr id="14" name="Oval 13">
            <a:extLst>
              <a:ext uri="{FF2B5EF4-FFF2-40B4-BE49-F238E27FC236}">
                <a16:creationId xmlns:a16="http://schemas.microsoft.com/office/drawing/2014/main" id="{2499C9C0-0B75-4417-B197-1FBAF23F8B09}"/>
              </a:ext>
            </a:extLst>
          </xdr:cNvPr>
          <xdr:cNvSpPr/>
        </xdr:nvSpPr>
        <xdr:spPr>
          <a:xfrm>
            <a:off x="13099677" y="2263590"/>
            <a:ext cx="5039846" cy="5345206"/>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Oval 16">
            <a:extLst>
              <a:ext uri="{FF2B5EF4-FFF2-40B4-BE49-F238E27FC236}">
                <a16:creationId xmlns:a16="http://schemas.microsoft.com/office/drawing/2014/main" id="{BA6A48F3-DFD9-4E78-A9AD-078361E970BD}"/>
              </a:ext>
            </a:extLst>
          </xdr:cNvPr>
          <xdr:cNvSpPr/>
        </xdr:nvSpPr>
        <xdr:spPr>
          <a:xfrm>
            <a:off x="18906564" y="3249707"/>
            <a:ext cx="1305485" cy="626969"/>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Speech Bubble: Oval 17">
            <a:extLst>
              <a:ext uri="{FF2B5EF4-FFF2-40B4-BE49-F238E27FC236}">
                <a16:creationId xmlns:a16="http://schemas.microsoft.com/office/drawing/2014/main" id="{FCE085A7-0957-42B4-A4E0-19C7E7B61EA0}"/>
              </a:ext>
            </a:extLst>
          </xdr:cNvPr>
          <xdr:cNvSpPr/>
        </xdr:nvSpPr>
        <xdr:spPr>
          <a:xfrm>
            <a:off x="18976599" y="2085418"/>
            <a:ext cx="2182346" cy="991721"/>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Press Add / Update once all the details have been entered</a:t>
            </a:r>
          </a:p>
        </xdr:txBody>
      </xdr:sp>
    </xdr:grpSp>
    <xdr:clientData/>
  </xdr:twoCellAnchor>
  <xdr:twoCellAnchor>
    <xdr:from>
      <xdr:col>10</xdr:col>
      <xdr:colOff>428625</xdr:colOff>
      <xdr:row>8</xdr:row>
      <xdr:rowOff>114300</xdr:rowOff>
    </xdr:from>
    <xdr:to>
      <xdr:col>10</xdr:col>
      <xdr:colOff>1743075</xdr:colOff>
      <xdr:row>10</xdr:row>
      <xdr:rowOff>228601</xdr:rowOff>
    </xdr:to>
    <xdr:sp macro="" textlink="">
      <xdr:nvSpPr>
        <xdr:cNvPr id="19" name="Oval 18">
          <a:extLst>
            <a:ext uri="{FF2B5EF4-FFF2-40B4-BE49-F238E27FC236}">
              <a16:creationId xmlns:a16="http://schemas.microsoft.com/office/drawing/2014/main" id="{ECF31A65-C028-42BD-814D-15D741B08FDB}"/>
            </a:ext>
          </a:extLst>
        </xdr:cNvPr>
        <xdr:cNvSpPr/>
      </xdr:nvSpPr>
      <xdr:spPr>
        <a:xfrm>
          <a:off x="7981950" y="2647950"/>
          <a:ext cx="1314450" cy="638176"/>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358589</xdr:colOff>
      <xdr:row>27</xdr:row>
      <xdr:rowOff>155200</xdr:rowOff>
    </xdr:from>
    <xdr:to>
      <xdr:col>27</xdr:col>
      <xdr:colOff>272306</xdr:colOff>
      <xdr:row>44</xdr:row>
      <xdr:rowOff>141713</xdr:rowOff>
    </xdr:to>
    <xdr:grpSp>
      <xdr:nvGrpSpPr>
        <xdr:cNvPr id="98" name="Group 97">
          <a:extLst>
            <a:ext uri="{FF2B5EF4-FFF2-40B4-BE49-F238E27FC236}">
              <a16:creationId xmlns:a16="http://schemas.microsoft.com/office/drawing/2014/main" id="{885FA4E2-5B9F-92CA-0BF1-8DA7511B4938}"/>
            </a:ext>
          </a:extLst>
        </xdr:cNvPr>
        <xdr:cNvGrpSpPr/>
      </xdr:nvGrpSpPr>
      <xdr:grpSpPr>
        <a:xfrm>
          <a:off x="13407839" y="8432425"/>
          <a:ext cx="7105092" cy="3548863"/>
          <a:chOff x="13391030" y="8559613"/>
          <a:chExt cx="7085482" cy="3606013"/>
        </a:xfrm>
      </xdr:grpSpPr>
      <xdr:pic>
        <xdr:nvPicPr>
          <xdr:cNvPr id="96" name="Picture 95">
            <a:extLst>
              <a:ext uri="{FF2B5EF4-FFF2-40B4-BE49-F238E27FC236}">
                <a16:creationId xmlns:a16="http://schemas.microsoft.com/office/drawing/2014/main" id="{E280B662-EA0D-40A4-907C-6EACBDC6306F}"/>
              </a:ext>
            </a:extLst>
          </xdr:cNvPr>
          <xdr:cNvPicPr>
            <a:picLocks noChangeAspect="1"/>
          </xdr:cNvPicPr>
        </xdr:nvPicPr>
        <xdr:blipFill>
          <a:blip xmlns:r="http://schemas.openxmlformats.org/officeDocument/2006/relationships" r:embed="rId1"/>
          <a:stretch>
            <a:fillRect/>
          </a:stretch>
        </xdr:blipFill>
        <xdr:spPr>
          <a:xfrm>
            <a:off x="13391030" y="10163735"/>
            <a:ext cx="5931314" cy="2001891"/>
          </a:xfrm>
          <a:prstGeom prst="rect">
            <a:avLst/>
          </a:prstGeom>
        </xdr:spPr>
      </xdr:pic>
      <xdr:sp macro="" textlink="">
        <xdr:nvSpPr>
          <xdr:cNvPr id="20" name="TextBox 19">
            <a:extLst>
              <a:ext uri="{FF2B5EF4-FFF2-40B4-BE49-F238E27FC236}">
                <a16:creationId xmlns:a16="http://schemas.microsoft.com/office/drawing/2014/main" id="{93C9C244-092E-41F8-BBB9-F189E769E00B}"/>
              </a:ext>
            </a:extLst>
          </xdr:cNvPr>
          <xdr:cNvSpPr txBox="1"/>
        </xdr:nvSpPr>
        <xdr:spPr>
          <a:xfrm>
            <a:off x="13943479" y="8559613"/>
            <a:ext cx="38083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GB" sz="2400" b="1">
                <a:solidFill>
                  <a:srgbClr val="2F3E46"/>
                </a:solidFill>
                <a:latin typeface="+mn-lt"/>
                <a:ea typeface="+mn-ea"/>
                <a:cs typeface="+mn-cs"/>
              </a:rPr>
              <a:t>Update and Existing Product</a:t>
            </a:r>
          </a:p>
        </xdr:txBody>
      </xdr:sp>
      <xdr:sp macro="" textlink="">
        <xdr:nvSpPr>
          <xdr:cNvPr id="22" name="Oval 21">
            <a:extLst>
              <a:ext uri="{FF2B5EF4-FFF2-40B4-BE49-F238E27FC236}">
                <a16:creationId xmlns:a16="http://schemas.microsoft.com/office/drawing/2014/main" id="{4A3E628D-56D3-4ADF-B6C5-9732A0BA0E8C}"/>
              </a:ext>
            </a:extLst>
          </xdr:cNvPr>
          <xdr:cNvSpPr/>
        </xdr:nvSpPr>
        <xdr:spPr>
          <a:xfrm>
            <a:off x="13938439" y="10535770"/>
            <a:ext cx="2024904" cy="918322"/>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Speech Bubble: Oval 22">
            <a:extLst>
              <a:ext uri="{FF2B5EF4-FFF2-40B4-BE49-F238E27FC236}">
                <a16:creationId xmlns:a16="http://schemas.microsoft.com/office/drawing/2014/main" id="{C6005CB8-4A4D-478F-82D8-01A468A76C42}"/>
              </a:ext>
            </a:extLst>
          </xdr:cNvPr>
          <xdr:cNvSpPr/>
        </xdr:nvSpPr>
        <xdr:spPr>
          <a:xfrm>
            <a:off x="13839265" y="9160248"/>
            <a:ext cx="4291295" cy="1261222"/>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Type </a:t>
            </a:r>
            <a:r>
              <a:rPr lang="en-GB" sz="1100" baseline="0">
                <a:solidFill>
                  <a:srgbClr val="354F52"/>
                </a:solidFill>
              </a:rPr>
              <a:t>the first letters of the product and choose form the drop down. If the Product field is empty the dropdown will contain all products, Clear the conents and press enter to reset the list.</a:t>
            </a:r>
            <a:endParaRPr lang="en-GB" sz="1100">
              <a:solidFill>
                <a:srgbClr val="354F52"/>
              </a:solidFill>
            </a:endParaRPr>
          </a:p>
        </xdr:txBody>
      </xdr:sp>
      <xdr:sp macro="" textlink="">
        <xdr:nvSpPr>
          <xdr:cNvPr id="24" name="Speech Bubble: Oval 23">
            <a:extLst>
              <a:ext uri="{FF2B5EF4-FFF2-40B4-BE49-F238E27FC236}">
                <a16:creationId xmlns:a16="http://schemas.microsoft.com/office/drawing/2014/main" id="{7149AD47-A74F-44AF-85D5-441716ACD1B8}"/>
              </a:ext>
            </a:extLst>
          </xdr:cNvPr>
          <xdr:cNvSpPr/>
        </xdr:nvSpPr>
        <xdr:spPr>
          <a:xfrm>
            <a:off x="18292485" y="9379323"/>
            <a:ext cx="2184027" cy="876860"/>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With a product</a:t>
            </a:r>
            <a:r>
              <a:rPr lang="en-GB" sz="1100" baseline="0">
                <a:solidFill>
                  <a:srgbClr val="354F52"/>
                </a:solidFill>
              </a:rPr>
              <a:t> selected press the 'Find' button</a:t>
            </a:r>
            <a:endParaRPr lang="en-GB" sz="1100">
              <a:solidFill>
                <a:srgbClr val="354F52"/>
              </a:solidFill>
            </a:endParaRPr>
          </a:p>
        </xdr:txBody>
      </xdr:sp>
      <xdr:sp macro="" textlink="">
        <xdr:nvSpPr>
          <xdr:cNvPr id="25" name="Oval 24">
            <a:extLst>
              <a:ext uri="{FF2B5EF4-FFF2-40B4-BE49-F238E27FC236}">
                <a16:creationId xmlns:a16="http://schemas.microsoft.com/office/drawing/2014/main" id="{63878149-F9C3-4D5A-B9D8-F9724B17AA6C}"/>
              </a:ext>
            </a:extLst>
          </xdr:cNvPr>
          <xdr:cNvSpPr/>
        </xdr:nvSpPr>
        <xdr:spPr>
          <a:xfrm>
            <a:off x="18159136" y="10421470"/>
            <a:ext cx="1307166" cy="648261"/>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18</xdr:col>
      <xdr:colOff>918884</xdr:colOff>
      <xdr:row>48</xdr:row>
      <xdr:rowOff>28017</xdr:rowOff>
    </xdr:from>
    <xdr:to>
      <xdr:col>29</xdr:col>
      <xdr:colOff>400050</xdr:colOff>
      <xdr:row>76</xdr:row>
      <xdr:rowOff>168088</xdr:rowOff>
    </xdr:to>
    <xdr:grpSp>
      <xdr:nvGrpSpPr>
        <xdr:cNvPr id="100" name="Group 99">
          <a:extLst>
            <a:ext uri="{FF2B5EF4-FFF2-40B4-BE49-F238E27FC236}">
              <a16:creationId xmlns:a16="http://schemas.microsoft.com/office/drawing/2014/main" id="{20931C5F-6F83-5A6D-10D7-8EFEFD47D4F9}"/>
            </a:ext>
          </a:extLst>
        </xdr:cNvPr>
        <xdr:cNvGrpSpPr/>
      </xdr:nvGrpSpPr>
      <xdr:grpSpPr>
        <a:xfrm>
          <a:off x="13968134" y="12705792"/>
          <a:ext cx="8234641" cy="6007471"/>
          <a:chOff x="13928913" y="12735487"/>
          <a:chExt cx="8210549" cy="6101600"/>
        </a:xfrm>
      </xdr:grpSpPr>
      <xdr:pic>
        <xdr:nvPicPr>
          <xdr:cNvPr id="97" name="Picture 96">
            <a:extLst>
              <a:ext uri="{FF2B5EF4-FFF2-40B4-BE49-F238E27FC236}">
                <a16:creationId xmlns:a16="http://schemas.microsoft.com/office/drawing/2014/main" id="{CB0E671B-EA76-4D7E-9F1A-8A09A5F68BB5}"/>
              </a:ext>
            </a:extLst>
          </xdr:cNvPr>
          <xdr:cNvPicPr>
            <a:picLocks noChangeAspect="1"/>
          </xdr:cNvPicPr>
        </xdr:nvPicPr>
        <xdr:blipFill>
          <a:blip xmlns:r="http://schemas.openxmlformats.org/officeDocument/2006/relationships" r:embed="rId6"/>
          <a:stretch>
            <a:fillRect/>
          </a:stretch>
        </xdr:blipFill>
        <xdr:spPr>
          <a:xfrm>
            <a:off x="13928913" y="12875558"/>
            <a:ext cx="7032519" cy="5961529"/>
          </a:xfrm>
          <a:prstGeom prst="rect">
            <a:avLst/>
          </a:prstGeom>
        </xdr:spPr>
      </xdr:pic>
      <xdr:sp macro="" textlink="">
        <xdr:nvSpPr>
          <xdr:cNvPr id="27" name="Speech Bubble: Oval 26">
            <a:extLst>
              <a:ext uri="{FF2B5EF4-FFF2-40B4-BE49-F238E27FC236}">
                <a16:creationId xmlns:a16="http://schemas.microsoft.com/office/drawing/2014/main" id="{8A2E9858-377D-400F-B1CB-A8F0E8F9807A}"/>
              </a:ext>
            </a:extLst>
          </xdr:cNvPr>
          <xdr:cNvSpPr/>
        </xdr:nvSpPr>
        <xdr:spPr>
          <a:xfrm>
            <a:off x="16289431" y="12735487"/>
            <a:ext cx="1967194" cy="714936"/>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Change the</a:t>
            </a:r>
            <a:r>
              <a:rPr lang="en-GB" sz="1100" baseline="0">
                <a:solidFill>
                  <a:srgbClr val="354F52"/>
                </a:solidFill>
              </a:rPr>
              <a:t> details as required</a:t>
            </a:r>
            <a:endParaRPr lang="en-GB" sz="1100">
              <a:solidFill>
                <a:srgbClr val="354F52"/>
              </a:solidFill>
            </a:endParaRPr>
          </a:p>
        </xdr:txBody>
      </xdr:sp>
      <xdr:sp macro="" textlink="">
        <xdr:nvSpPr>
          <xdr:cNvPr id="28" name="Oval 27">
            <a:extLst>
              <a:ext uri="{FF2B5EF4-FFF2-40B4-BE49-F238E27FC236}">
                <a16:creationId xmlns:a16="http://schemas.microsoft.com/office/drawing/2014/main" id="{1A787F36-AAF8-4934-BF12-948032411E76}"/>
              </a:ext>
            </a:extLst>
          </xdr:cNvPr>
          <xdr:cNvSpPr/>
        </xdr:nvSpPr>
        <xdr:spPr>
          <a:xfrm>
            <a:off x="14743579" y="13847672"/>
            <a:ext cx="4809005" cy="478771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9" name="Oval 28">
            <a:extLst>
              <a:ext uri="{FF2B5EF4-FFF2-40B4-BE49-F238E27FC236}">
                <a16:creationId xmlns:a16="http://schemas.microsoft.com/office/drawing/2014/main" id="{BC607DF7-E678-4831-8AFE-B0331D20B312}"/>
              </a:ext>
            </a:extLst>
          </xdr:cNvPr>
          <xdr:cNvSpPr/>
        </xdr:nvSpPr>
        <xdr:spPr>
          <a:xfrm>
            <a:off x="19710026" y="14159195"/>
            <a:ext cx="1305486" cy="648262"/>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0" name="Speech Bubble: Oval 29">
            <a:extLst>
              <a:ext uri="{FF2B5EF4-FFF2-40B4-BE49-F238E27FC236}">
                <a16:creationId xmlns:a16="http://schemas.microsoft.com/office/drawing/2014/main" id="{F201FEE0-6A5C-4100-BE1F-62F19726DEF1}"/>
              </a:ext>
            </a:extLst>
          </xdr:cNvPr>
          <xdr:cNvSpPr/>
        </xdr:nvSpPr>
        <xdr:spPr>
          <a:xfrm>
            <a:off x="19948150" y="13053175"/>
            <a:ext cx="2191312" cy="902634"/>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Press 'Add / Update' when all the changes have been made</a:t>
            </a:r>
          </a:p>
        </xdr:txBody>
      </xdr:sp>
    </xdr:grpSp>
    <xdr:clientData/>
  </xdr:twoCellAnchor>
  <xdr:twoCellAnchor>
    <xdr:from>
      <xdr:col>6</xdr:col>
      <xdr:colOff>638174</xdr:colOff>
      <xdr:row>41</xdr:row>
      <xdr:rowOff>206084</xdr:rowOff>
    </xdr:from>
    <xdr:to>
      <xdr:col>7</xdr:col>
      <xdr:colOff>1876425</xdr:colOff>
      <xdr:row>46</xdr:row>
      <xdr:rowOff>63209</xdr:rowOff>
    </xdr:to>
    <xdr:sp macro="" textlink="">
      <xdr:nvSpPr>
        <xdr:cNvPr id="32" name="Oval 31">
          <a:extLst>
            <a:ext uri="{FF2B5EF4-FFF2-40B4-BE49-F238E27FC236}">
              <a16:creationId xmlns:a16="http://schemas.microsoft.com/office/drawing/2014/main" id="{9A366B94-B44F-4B22-B2D1-2B1DD796B80E}"/>
            </a:ext>
          </a:extLst>
        </xdr:cNvPr>
        <xdr:cNvSpPr/>
      </xdr:nvSpPr>
      <xdr:spPr>
        <a:xfrm>
          <a:off x="3842038" y="11341675"/>
          <a:ext cx="2017569" cy="896216"/>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7</xdr:col>
      <xdr:colOff>1400175</xdr:colOff>
      <xdr:row>32</xdr:row>
      <xdr:rowOff>167984</xdr:rowOff>
    </xdr:from>
    <xdr:ext cx="2321341" cy="468013"/>
    <xdr:sp macro="" textlink="">
      <xdr:nvSpPr>
        <xdr:cNvPr id="33" name="TextBox 32">
          <a:extLst>
            <a:ext uri="{FF2B5EF4-FFF2-40B4-BE49-F238E27FC236}">
              <a16:creationId xmlns:a16="http://schemas.microsoft.com/office/drawing/2014/main" id="{1935DE6C-8064-4D96-84BC-518F6210B0DC}"/>
            </a:ext>
          </a:extLst>
        </xdr:cNvPr>
        <xdr:cNvSpPr txBox="1"/>
      </xdr:nvSpPr>
      <xdr:spPr>
        <a:xfrm>
          <a:off x="5383357" y="9433211"/>
          <a:ext cx="23213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rgbClr val="2F3E46"/>
              </a:solidFill>
              <a:latin typeface="+mn-lt"/>
              <a:ea typeface="+mn-ea"/>
              <a:cs typeface="+mn-cs"/>
            </a:rPr>
            <a:t>Delete a Product</a:t>
          </a:r>
        </a:p>
      </xdr:txBody>
    </xdr:sp>
    <xdr:clientData/>
  </xdr:oneCellAnchor>
  <xdr:twoCellAnchor>
    <xdr:from>
      <xdr:col>7</xdr:col>
      <xdr:colOff>609599</xdr:colOff>
      <xdr:row>35</xdr:row>
      <xdr:rowOff>91784</xdr:rowOff>
    </xdr:from>
    <xdr:to>
      <xdr:col>10</xdr:col>
      <xdr:colOff>495299</xdr:colOff>
      <xdr:row>41</xdr:row>
      <xdr:rowOff>91784</xdr:rowOff>
    </xdr:to>
    <xdr:sp macro="" textlink="">
      <xdr:nvSpPr>
        <xdr:cNvPr id="34" name="Speech Bubble: Oval 33">
          <a:extLst>
            <a:ext uri="{FF2B5EF4-FFF2-40B4-BE49-F238E27FC236}">
              <a16:creationId xmlns:a16="http://schemas.microsoft.com/office/drawing/2014/main" id="{B4EAC7CF-7986-4A8C-BB20-1D50E8AB05C7}"/>
            </a:ext>
          </a:extLst>
        </xdr:cNvPr>
        <xdr:cNvSpPr/>
      </xdr:nvSpPr>
      <xdr:spPr>
        <a:xfrm>
          <a:off x="4592781" y="9980466"/>
          <a:ext cx="3435927" cy="1246909"/>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Type </a:t>
          </a:r>
          <a:r>
            <a:rPr lang="en-GB" sz="1100" baseline="0">
              <a:solidFill>
                <a:srgbClr val="354F52"/>
              </a:solidFill>
            </a:rPr>
            <a:t>the first letters of the name and choose form the drop down. If the Product field is empty the dropdown will contain all products</a:t>
          </a:r>
          <a:endParaRPr lang="en-GB" sz="1100">
            <a:solidFill>
              <a:srgbClr val="354F52"/>
            </a:solidFill>
          </a:endParaRPr>
        </a:p>
      </xdr:txBody>
    </xdr:sp>
    <xdr:clientData/>
  </xdr:twoCellAnchor>
  <xdr:twoCellAnchor>
    <xdr:from>
      <xdr:col>10</xdr:col>
      <xdr:colOff>657224</xdr:colOff>
      <xdr:row>36</xdr:row>
      <xdr:rowOff>101309</xdr:rowOff>
    </xdr:from>
    <xdr:to>
      <xdr:col>12</xdr:col>
      <xdr:colOff>76200</xdr:colOff>
      <xdr:row>40</xdr:row>
      <xdr:rowOff>139409</xdr:rowOff>
    </xdr:to>
    <xdr:sp macro="" textlink="">
      <xdr:nvSpPr>
        <xdr:cNvPr id="35" name="Speech Bubble: Oval 34">
          <a:extLst>
            <a:ext uri="{FF2B5EF4-FFF2-40B4-BE49-F238E27FC236}">
              <a16:creationId xmlns:a16="http://schemas.microsoft.com/office/drawing/2014/main" id="{A15C33D6-56AF-43CA-BD24-D47AA3A79E3F}"/>
            </a:ext>
          </a:extLst>
        </xdr:cNvPr>
        <xdr:cNvSpPr/>
      </xdr:nvSpPr>
      <xdr:spPr>
        <a:xfrm>
          <a:off x="8190633" y="10197809"/>
          <a:ext cx="2207203" cy="869373"/>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With a product</a:t>
          </a:r>
          <a:r>
            <a:rPr lang="en-GB" sz="1100" baseline="0">
              <a:solidFill>
                <a:srgbClr val="354F52"/>
              </a:solidFill>
            </a:rPr>
            <a:t> selected press the 'Find' button</a:t>
          </a:r>
          <a:endParaRPr lang="en-GB" sz="1100">
            <a:solidFill>
              <a:srgbClr val="354F52"/>
            </a:solidFill>
          </a:endParaRPr>
        </a:p>
      </xdr:txBody>
    </xdr:sp>
    <xdr:clientData/>
  </xdr:twoCellAnchor>
  <xdr:twoCellAnchor>
    <xdr:from>
      <xdr:col>10</xdr:col>
      <xdr:colOff>523875</xdr:colOff>
      <xdr:row>41</xdr:row>
      <xdr:rowOff>91784</xdr:rowOff>
    </xdr:from>
    <xdr:to>
      <xdr:col>10</xdr:col>
      <xdr:colOff>1838325</xdr:colOff>
      <xdr:row>44</xdr:row>
      <xdr:rowOff>101310</xdr:rowOff>
    </xdr:to>
    <xdr:sp macro="" textlink="">
      <xdr:nvSpPr>
        <xdr:cNvPr id="36" name="Oval 35">
          <a:extLst>
            <a:ext uri="{FF2B5EF4-FFF2-40B4-BE49-F238E27FC236}">
              <a16:creationId xmlns:a16="http://schemas.microsoft.com/office/drawing/2014/main" id="{756C05D2-B078-47BE-BA8C-F2C15F35D79C}"/>
            </a:ext>
          </a:extLst>
        </xdr:cNvPr>
        <xdr:cNvSpPr/>
      </xdr:nvSpPr>
      <xdr:spPr>
        <a:xfrm>
          <a:off x="8057284" y="11227375"/>
          <a:ext cx="1314450" cy="63298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1009649</xdr:colOff>
      <xdr:row>49</xdr:row>
      <xdr:rowOff>187034</xdr:rowOff>
    </xdr:from>
    <xdr:to>
      <xdr:col>13</xdr:col>
      <xdr:colOff>409575</xdr:colOff>
      <xdr:row>54</xdr:row>
      <xdr:rowOff>17316</xdr:rowOff>
    </xdr:to>
    <xdr:sp macro="" textlink="">
      <xdr:nvSpPr>
        <xdr:cNvPr id="37" name="Speech Bubble: Oval 36">
          <a:extLst>
            <a:ext uri="{FF2B5EF4-FFF2-40B4-BE49-F238E27FC236}">
              <a16:creationId xmlns:a16="http://schemas.microsoft.com/office/drawing/2014/main" id="{9F234752-4FC3-4865-93FD-C0FE81BC5A9B}"/>
            </a:ext>
          </a:extLst>
        </xdr:cNvPr>
        <xdr:cNvSpPr/>
      </xdr:nvSpPr>
      <xdr:spPr>
        <a:xfrm>
          <a:off x="8543058" y="12985170"/>
          <a:ext cx="2413290" cy="869373"/>
        </a:xfrm>
        <a:prstGeom prst="wedgeEllipseCallout">
          <a:avLst>
            <a:gd name="adj1" fmla="val -30790"/>
            <a:gd name="adj2" fmla="val -53804"/>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Once the product details are displayed press the 'Delete' button</a:t>
          </a:r>
        </a:p>
      </xdr:txBody>
    </xdr:sp>
    <xdr:clientData/>
  </xdr:twoCellAnchor>
  <xdr:twoCellAnchor>
    <xdr:from>
      <xdr:col>10</xdr:col>
      <xdr:colOff>533400</xdr:colOff>
      <xdr:row>46</xdr:row>
      <xdr:rowOff>72734</xdr:rowOff>
    </xdr:from>
    <xdr:to>
      <xdr:col>10</xdr:col>
      <xdr:colOff>1847850</xdr:colOff>
      <xdr:row>49</xdr:row>
      <xdr:rowOff>82260</xdr:rowOff>
    </xdr:to>
    <xdr:sp macro="" textlink="">
      <xdr:nvSpPr>
        <xdr:cNvPr id="38" name="Oval 37">
          <a:extLst>
            <a:ext uri="{FF2B5EF4-FFF2-40B4-BE49-F238E27FC236}">
              <a16:creationId xmlns:a16="http://schemas.microsoft.com/office/drawing/2014/main" id="{24E5956A-383D-43B3-9D31-A9AD5687DC61}"/>
            </a:ext>
          </a:extLst>
        </xdr:cNvPr>
        <xdr:cNvSpPr/>
      </xdr:nvSpPr>
      <xdr:spPr>
        <a:xfrm>
          <a:off x="8066809" y="12247416"/>
          <a:ext cx="1314450" cy="63298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30</xdr:col>
      <xdr:colOff>428625</xdr:colOff>
      <xdr:row>1</xdr:row>
      <xdr:rowOff>85725</xdr:rowOff>
    </xdr:from>
    <xdr:ext cx="4416850" cy="468013"/>
    <xdr:sp macro="" textlink="">
      <xdr:nvSpPr>
        <xdr:cNvPr id="40" name="TextBox 39">
          <a:extLst>
            <a:ext uri="{FF2B5EF4-FFF2-40B4-BE49-F238E27FC236}">
              <a16:creationId xmlns:a16="http://schemas.microsoft.com/office/drawing/2014/main" id="{4ABF0BB0-CC5D-4959-AFEF-035BB1BD55C2}"/>
            </a:ext>
          </a:extLst>
        </xdr:cNvPr>
        <xdr:cNvSpPr txBox="1"/>
      </xdr:nvSpPr>
      <xdr:spPr>
        <a:xfrm>
          <a:off x="22773154" y="702049"/>
          <a:ext cx="44168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rgbClr val="2F3E46"/>
              </a:solidFill>
              <a:latin typeface="+mn-lt"/>
              <a:ea typeface="+mn-ea"/>
              <a:cs typeface="+mn-cs"/>
            </a:rPr>
            <a:t>Add a new Inventory</a:t>
          </a:r>
          <a:r>
            <a:rPr lang="en-GB" sz="2400" b="1" baseline="0">
              <a:solidFill>
                <a:srgbClr val="2F3E46"/>
              </a:solidFill>
              <a:latin typeface="+mn-lt"/>
              <a:ea typeface="+mn-ea"/>
              <a:cs typeface="+mn-cs"/>
            </a:rPr>
            <a:t> Transaction</a:t>
          </a:r>
          <a:endParaRPr lang="en-GB" sz="2400" b="1">
            <a:solidFill>
              <a:srgbClr val="2F3E46"/>
            </a:solidFill>
            <a:latin typeface="+mn-lt"/>
            <a:ea typeface="+mn-ea"/>
            <a:cs typeface="+mn-cs"/>
          </a:endParaRPr>
        </a:p>
      </xdr:txBody>
    </xdr:sp>
    <xdr:clientData/>
  </xdr:oneCellAnchor>
  <xdr:twoCellAnchor>
    <xdr:from>
      <xdr:col>7</xdr:col>
      <xdr:colOff>761999</xdr:colOff>
      <xdr:row>51</xdr:row>
      <xdr:rowOff>167984</xdr:rowOff>
    </xdr:from>
    <xdr:to>
      <xdr:col>10</xdr:col>
      <xdr:colOff>19049</xdr:colOff>
      <xdr:row>58</xdr:row>
      <xdr:rowOff>72734</xdr:rowOff>
    </xdr:to>
    <xdr:sp macro="" textlink="">
      <xdr:nvSpPr>
        <xdr:cNvPr id="89" name="Rectangle: Rounded Corners 88">
          <a:extLst>
            <a:ext uri="{FF2B5EF4-FFF2-40B4-BE49-F238E27FC236}">
              <a16:creationId xmlns:a16="http://schemas.microsoft.com/office/drawing/2014/main" id="{14DCB211-37B3-5A79-ED95-333C9DD301C5}"/>
            </a:ext>
          </a:extLst>
        </xdr:cNvPr>
        <xdr:cNvSpPr/>
      </xdr:nvSpPr>
      <xdr:spPr>
        <a:xfrm>
          <a:off x="4745181" y="13381757"/>
          <a:ext cx="2807277" cy="1359477"/>
        </a:xfrm>
        <a:prstGeom prst="roundRect">
          <a:avLst/>
        </a:prstGeom>
        <a:solidFill>
          <a:srgbClr val="DAEB3D"/>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rgbClr val="354F52"/>
              </a:solidFill>
              <a:latin typeface="+mn-lt"/>
              <a:ea typeface="+mn-ea"/>
              <a:cs typeface="+mn-cs"/>
            </a:rPr>
            <a:t>⚠️ Product data is not actually</a:t>
          </a:r>
          <a:r>
            <a:rPr lang="en-GB" sz="1100" baseline="0">
              <a:solidFill>
                <a:srgbClr val="354F52"/>
              </a:solidFill>
              <a:latin typeface="+mn-lt"/>
              <a:ea typeface="+mn-ea"/>
              <a:cs typeface="+mn-cs"/>
            </a:rPr>
            <a:t> </a:t>
          </a:r>
          <a:r>
            <a:rPr lang="en-GB" sz="1100">
              <a:solidFill>
                <a:srgbClr val="354F52"/>
              </a:solidFill>
              <a:latin typeface="+mn-lt"/>
              <a:ea typeface="+mn-ea"/>
              <a:cs typeface="+mn-cs"/>
            </a:rPr>
            <a:t>deleted, a flag is set to 'Yes' in the delete column of the Product data which prevents it from being displayed. Remove the flag and both the product and transaction data will become available</a:t>
          </a:r>
        </a:p>
        <a:p>
          <a:pPr marL="0" indent="0" algn="l"/>
          <a:endParaRPr lang="en-GB" sz="1100">
            <a:solidFill>
              <a:srgbClr val="354F52"/>
            </a:solidFill>
            <a:latin typeface="+mn-lt"/>
            <a:ea typeface="+mn-ea"/>
            <a:cs typeface="+mn-cs"/>
          </a:endParaRPr>
        </a:p>
      </xdr:txBody>
    </xdr:sp>
    <xdr:clientData/>
  </xdr:twoCellAnchor>
  <xdr:twoCellAnchor>
    <xdr:from>
      <xdr:col>0</xdr:col>
      <xdr:colOff>142875</xdr:colOff>
      <xdr:row>4</xdr:row>
      <xdr:rowOff>266700</xdr:rowOff>
    </xdr:from>
    <xdr:to>
      <xdr:col>4</xdr:col>
      <xdr:colOff>50026</xdr:colOff>
      <xdr:row>6</xdr:row>
      <xdr:rowOff>209550</xdr:rowOff>
    </xdr:to>
    <xdr:grpSp>
      <xdr:nvGrpSpPr>
        <xdr:cNvPr id="13" name="Group 12">
          <a:hlinkClick xmlns:r="http://schemas.openxmlformats.org/officeDocument/2006/relationships" r:id="rId7"/>
          <a:extLst>
            <a:ext uri="{FF2B5EF4-FFF2-40B4-BE49-F238E27FC236}">
              <a16:creationId xmlns:a16="http://schemas.microsoft.com/office/drawing/2014/main" id="{15BD1E73-3744-8833-BBE4-EC60501711B1}"/>
            </a:ext>
          </a:extLst>
        </xdr:cNvPr>
        <xdr:cNvGrpSpPr/>
      </xdr:nvGrpSpPr>
      <xdr:grpSpPr>
        <a:xfrm>
          <a:off x="142875" y="1504950"/>
          <a:ext cx="2345551" cy="695325"/>
          <a:chOff x="228600" y="1562100"/>
          <a:chExt cx="2345551" cy="695325"/>
        </a:xfrm>
      </xdr:grpSpPr>
      <xdr:sp macro="" textlink="">
        <xdr:nvSpPr>
          <xdr:cNvPr id="79" name="Rectangle: Rounded Corners 78">
            <a:hlinkClick xmlns:r="http://schemas.openxmlformats.org/officeDocument/2006/relationships" r:id="rId8"/>
            <a:extLst>
              <a:ext uri="{FF2B5EF4-FFF2-40B4-BE49-F238E27FC236}">
                <a16:creationId xmlns:a16="http://schemas.microsoft.com/office/drawing/2014/main" id="{F2C2561F-E75B-4D67-9BDC-8C7017E11A2C}"/>
              </a:ext>
            </a:extLst>
          </xdr:cNvPr>
          <xdr:cNvSpPr/>
        </xdr:nvSpPr>
        <xdr:spPr>
          <a:xfrm>
            <a:off x="228600" y="1562100"/>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11" name="Group 10">
            <a:extLst>
              <a:ext uri="{FF2B5EF4-FFF2-40B4-BE49-F238E27FC236}">
                <a16:creationId xmlns:a16="http://schemas.microsoft.com/office/drawing/2014/main" id="{D93FCDF1-77F9-2B2C-816A-F8DCCF6F0B8A}"/>
              </a:ext>
            </a:extLst>
          </xdr:cNvPr>
          <xdr:cNvGrpSpPr/>
        </xdr:nvGrpSpPr>
        <xdr:grpSpPr>
          <a:xfrm>
            <a:off x="314325" y="1597004"/>
            <a:ext cx="2259826" cy="552450"/>
            <a:chOff x="314325" y="1597004"/>
            <a:chExt cx="2259826" cy="552450"/>
          </a:xfrm>
        </xdr:grpSpPr>
        <xdr:sp macro="" textlink="">
          <xdr:nvSpPr>
            <xdr:cNvPr id="71" name="Rectangle 70">
              <a:hlinkClick xmlns:r="http://schemas.openxmlformats.org/officeDocument/2006/relationships" r:id="rId7"/>
              <a:extLst>
                <a:ext uri="{FF2B5EF4-FFF2-40B4-BE49-F238E27FC236}">
                  <a16:creationId xmlns:a16="http://schemas.microsoft.com/office/drawing/2014/main" id="{F4F3878D-5B13-18D2-7BBC-4A386734A2DE}"/>
                </a:ext>
              </a:extLst>
            </xdr:cNvPr>
            <xdr:cNvSpPr/>
          </xdr:nvSpPr>
          <xdr:spPr>
            <a:xfrm>
              <a:off x="335479" y="1597004"/>
              <a:ext cx="2238672"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Product</a:t>
              </a:r>
            </a:p>
          </xdr:txBody>
        </xdr:sp>
        <xdr:pic>
          <xdr:nvPicPr>
            <xdr:cNvPr id="5" name="Graphic 4" descr="Search Inventory with solid fill">
              <a:extLst>
                <a:ext uri="{FF2B5EF4-FFF2-40B4-BE49-F238E27FC236}">
                  <a16:creationId xmlns:a16="http://schemas.microsoft.com/office/drawing/2014/main" id="{DD027B73-E64C-721F-D2DD-D52576E971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4325" y="1657350"/>
              <a:ext cx="468000" cy="468000"/>
            </a:xfrm>
            <a:prstGeom prst="rect">
              <a:avLst/>
            </a:prstGeom>
          </xdr:spPr>
        </xdr:pic>
      </xdr:grpSp>
    </xdr:grpSp>
    <xdr:clientData/>
  </xdr:twoCellAnchor>
  <xdr:twoCellAnchor>
    <xdr:from>
      <xdr:col>0</xdr:col>
      <xdr:colOff>142875</xdr:colOff>
      <xdr:row>6</xdr:row>
      <xdr:rowOff>323850</xdr:rowOff>
    </xdr:from>
    <xdr:to>
      <xdr:col>4</xdr:col>
      <xdr:colOff>76671</xdr:colOff>
      <xdr:row>9</xdr:row>
      <xdr:rowOff>161925</xdr:rowOff>
    </xdr:to>
    <xdr:grpSp>
      <xdr:nvGrpSpPr>
        <xdr:cNvPr id="88" name="Group 87">
          <a:extLst>
            <a:ext uri="{FF2B5EF4-FFF2-40B4-BE49-F238E27FC236}">
              <a16:creationId xmlns:a16="http://schemas.microsoft.com/office/drawing/2014/main" id="{1C6CBBA6-398E-A6A8-928C-6F7F34563021}"/>
            </a:ext>
          </a:extLst>
        </xdr:cNvPr>
        <xdr:cNvGrpSpPr/>
      </xdr:nvGrpSpPr>
      <xdr:grpSpPr>
        <a:xfrm>
          <a:off x="142875" y="2314575"/>
          <a:ext cx="2372196" cy="695325"/>
          <a:chOff x="228600" y="2371725"/>
          <a:chExt cx="2372196" cy="695325"/>
        </a:xfrm>
      </xdr:grpSpPr>
      <xdr:sp macro="" textlink="">
        <xdr:nvSpPr>
          <xdr:cNvPr id="80" name="Rectangle: Rounded Corners 79">
            <a:extLst>
              <a:ext uri="{FF2B5EF4-FFF2-40B4-BE49-F238E27FC236}">
                <a16:creationId xmlns:a16="http://schemas.microsoft.com/office/drawing/2014/main" id="{AE8D7B69-8985-49A9-ABCE-0BD2868FEA00}"/>
              </a:ext>
            </a:extLst>
          </xdr:cNvPr>
          <xdr:cNvSpPr/>
        </xdr:nvSpPr>
        <xdr:spPr>
          <a:xfrm>
            <a:off x="228600" y="237172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73" name="Group 72">
            <a:extLst>
              <a:ext uri="{FF2B5EF4-FFF2-40B4-BE49-F238E27FC236}">
                <a16:creationId xmlns:a16="http://schemas.microsoft.com/office/drawing/2014/main" id="{D4B7943F-438E-41B3-8543-533ADF848C09}"/>
              </a:ext>
            </a:extLst>
          </xdr:cNvPr>
          <xdr:cNvGrpSpPr/>
        </xdr:nvGrpSpPr>
        <xdr:grpSpPr>
          <a:xfrm>
            <a:off x="361950" y="2393908"/>
            <a:ext cx="2238846" cy="657225"/>
            <a:chOff x="285279" y="3133725"/>
            <a:chExt cx="2238846" cy="657225"/>
          </a:xfrm>
        </xdr:grpSpPr>
        <xdr:sp macro="" textlink="">
          <xdr:nvSpPr>
            <xdr:cNvPr id="74" name="Rectangle 73">
              <a:hlinkClick xmlns:r="http://schemas.openxmlformats.org/officeDocument/2006/relationships" r:id="rId11"/>
              <a:extLst>
                <a:ext uri="{FF2B5EF4-FFF2-40B4-BE49-F238E27FC236}">
                  <a16:creationId xmlns:a16="http://schemas.microsoft.com/office/drawing/2014/main" id="{A714F009-7464-C43F-8E79-D3909645DDF3}"/>
                </a:ext>
              </a:extLst>
            </xdr:cNvPr>
            <xdr:cNvSpPr/>
          </xdr:nvSpPr>
          <xdr:spPr>
            <a:xfrm>
              <a:off x="285279" y="3133725"/>
              <a:ext cx="223884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DataBase</a:t>
              </a:r>
            </a:p>
          </xdr:txBody>
        </xdr:sp>
        <xdr:pic>
          <xdr:nvPicPr>
            <xdr:cNvPr id="75" name="Graphic 74" descr="Database with solid fill">
              <a:extLst>
                <a:ext uri="{FF2B5EF4-FFF2-40B4-BE49-F238E27FC236}">
                  <a16:creationId xmlns:a16="http://schemas.microsoft.com/office/drawing/2014/main" id="{27906495-1C7B-D953-D880-743A7627FFC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5750" y="3200400"/>
              <a:ext cx="456444" cy="468000"/>
            </a:xfrm>
            <a:prstGeom prst="rect">
              <a:avLst/>
            </a:prstGeom>
          </xdr:spPr>
        </xdr:pic>
      </xdr:grpSp>
    </xdr:grpSp>
    <xdr:clientData/>
  </xdr:twoCellAnchor>
  <xdr:twoCellAnchor>
    <xdr:from>
      <xdr:col>0</xdr:col>
      <xdr:colOff>152400</xdr:colOff>
      <xdr:row>10</xdr:row>
      <xdr:rowOff>95250</xdr:rowOff>
    </xdr:from>
    <xdr:to>
      <xdr:col>3</xdr:col>
      <xdr:colOff>352425</xdr:colOff>
      <xdr:row>12</xdr:row>
      <xdr:rowOff>266700</xdr:rowOff>
    </xdr:to>
    <xdr:sp macro="" textlink="">
      <xdr:nvSpPr>
        <xdr:cNvPr id="72" name="Rectangle: Rounded Corners 71">
          <a:extLst>
            <a:ext uri="{FF2B5EF4-FFF2-40B4-BE49-F238E27FC236}">
              <a16:creationId xmlns:a16="http://schemas.microsoft.com/office/drawing/2014/main" id="{D79619C0-7A95-B72A-3006-D92EA72D4F65}"/>
            </a:ext>
          </a:extLst>
        </xdr:cNvPr>
        <xdr:cNvSpPr/>
      </xdr:nvSpPr>
      <xdr:spPr>
        <a:xfrm>
          <a:off x="152400" y="315277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352668</xdr:colOff>
      <xdr:row>10</xdr:row>
      <xdr:rowOff>152400</xdr:rowOff>
    </xdr:from>
    <xdr:to>
      <xdr:col>4</xdr:col>
      <xdr:colOff>180974</xdr:colOff>
      <xdr:row>12</xdr:row>
      <xdr:rowOff>285750</xdr:rowOff>
    </xdr:to>
    <xdr:sp macro="" textlink="">
      <xdr:nvSpPr>
        <xdr:cNvPr id="76" name="Rectangle 75">
          <a:hlinkClick xmlns:r="http://schemas.openxmlformats.org/officeDocument/2006/relationships" r:id="rId14"/>
          <a:extLst>
            <a:ext uri="{FF2B5EF4-FFF2-40B4-BE49-F238E27FC236}">
              <a16:creationId xmlns:a16="http://schemas.microsoft.com/office/drawing/2014/main" id="{F958C49F-AACE-6845-C8CF-00432FB2BCAA}"/>
            </a:ext>
          </a:extLst>
        </xdr:cNvPr>
        <xdr:cNvSpPr/>
      </xdr:nvSpPr>
      <xdr:spPr>
        <a:xfrm>
          <a:off x="352668" y="3209925"/>
          <a:ext cx="226670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Reports</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clientData/>
  </xdr:twoCellAnchor>
  <xdr:twoCellAnchor>
    <xdr:from>
      <xdr:col>0</xdr:col>
      <xdr:colOff>304800</xdr:colOff>
      <xdr:row>10</xdr:row>
      <xdr:rowOff>247650</xdr:rowOff>
    </xdr:from>
    <xdr:to>
      <xdr:col>1</xdr:col>
      <xdr:colOff>166800</xdr:colOff>
      <xdr:row>12</xdr:row>
      <xdr:rowOff>195375</xdr:rowOff>
    </xdr:to>
    <xdr:pic>
      <xdr:nvPicPr>
        <xdr:cNvPr id="87" name="Graphic 86" descr="Bar graph with upward trend with solid fill">
          <a:extLst>
            <a:ext uri="{FF2B5EF4-FFF2-40B4-BE49-F238E27FC236}">
              <a16:creationId xmlns:a16="http://schemas.microsoft.com/office/drawing/2014/main" id="{8FC26421-C565-5D5B-FFA2-0EED2C97801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4800" y="3305175"/>
          <a:ext cx="471600" cy="471600"/>
        </a:xfrm>
        <a:prstGeom prst="rect">
          <a:avLst/>
        </a:prstGeom>
      </xdr:spPr>
    </xdr:pic>
    <xdr:clientData/>
  </xdr:twoCellAnchor>
  <xdr:twoCellAnchor>
    <xdr:from>
      <xdr:col>38</xdr:col>
      <xdr:colOff>571497</xdr:colOff>
      <xdr:row>12</xdr:row>
      <xdr:rowOff>38099</xdr:rowOff>
    </xdr:from>
    <xdr:to>
      <xdr:col>41</xdr:col>
      <xdr:colOff>61629</xdr:colOff>
      <xdr:row>14</xdr:row>
      <xdr:rowOff>138391</xdr:rowOff>
    </xdr:to>
    <xdr:sp macro="" textlink="">
      <xdr:nvSpPr>
        <xdr:cNvPr id="105" name="Oval 104">
          <a:extLst>
            <a:ext uri="{FF2B5EF4-FFF2-40B4-BE49-F238E27FC236}">
              <a16:creationId xmlns:a16="http://schemas.microsoft.com/office/drawing/2014/main" id="{63E507F7-D398-4274-9B7F-56B0D6C3CCAB}"/>
            </a:ext>
          </a:extLst>
        </xdr:cNvPr>
        <xdr:cNvSpPr/>
      </xdr:nvSpPr>
      <xdr:spPr>
        <a:xfrm>
          <a:off x="28664644" y="3635187"/>
          <a:ext cx="1305485" cy="626969"/>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190499</xdr:colOff>
      <xdr:row>3</xdr:row>
      <xdr:rowOff>193863</xdr:rowOff>
    </xdr:from>
    <xdr:to>
      <xdr:col>42</xdr:col>
      <xdr:colOff>75637</xdr:colOff>
      <xdr:row>16</xdr:row>
      <xdr:rowOff>605120</xdr:rowOff>
    </xdr:to>
    <xdr:grpSp>
      <xdr:nvGrpSpPr>
        <xdr:cNvPr id="115" name="Group 114">
          <a:extLst>
            <a:ext uri="{FF2B5EF4-FFF2-40B4-BE49-F238E27FC236}">
              <a16:creationId xmlns:a16="http://schemas.microsoft.com/office/drawing/2014/main" id="{8DCC1420-4260-3117-BFC4-65364CFDC927}"/>
            </a:ext>
          </a:extLst>
        </xdr:cNvPr>
        <xdr:cNvGrpSpPr/>
      </xdr:nvGrpSpPr>
      <xdr:grpSpPr>
        <a:xfrm>
          <a:off x="21993224" y="1232088"/>
          <a:ext cx="9124388" cy="4002182"/>
          <a:chOff x="21929911" y="1112744"/>
          <a:chExt cx="9096373" cy="4019551"/>
        </a:xfrm>
      </xdr:grpSpPr>
      <xdr:pic>
        <xdr:nvPicPr>
          <xdr:cNvPr id="104" name="Picture 103">
            <a:extLst>
              <a:ext uri="{FF2B5EF4-FFF2-40B4-BE49-F238E27FC236}">
                <a16:creationId xmlns:a16="http://schemas.microsoft.com/office/drawing/2014/main" id="{35C0D882-D466-D355-BFBD-F206C1448C21}"/>
              </a:ext>
            </a:extLst>
          </xdr:cNvPr>
          <xdr:cNvPicPr>
            <a:picLocks noChangeAspect="1"/>
          </xdr:cNvPicPr>
        </xdr:nvPicPr>
        <xdr:blipFill>
          <a:blip xmlns:r="http://schemas.openxmlformats.org/officeDocument/2006/relationships" r:embed="rId17"/>
          <a:stretch>
            <a:fillRect/>
          </a:stretch>
        </xdr:blipFill>
        <xdr:spPr>
          <a:xfrm>
            <a:off x="21929911" y="2308413"/>
            <a:ext cx="7906853" cy="2295845"/>
          </a:xfrm>
          <a:prstGeom prst="rect">
            <a:avLst/>
          </a:prstGeom>
        </xdr:spPr>
      </xdr:pic>
      <xdr:sp macro="" textlink="">
        <xdr:nvSpPr>
          <xdr:cNvPr id="46" name="Oval 45">
            <a:extLst>
              <a:ext uri="{FF2B5EF4-FFF2-40B4-BE49-F238E27FC236}">
                <a16:creationId xmlns:a16="http://schemas.microsoft.com/office/drawing/2014/main" id="{D9D6D868-1D24-4834-B13B-EC430013D163}"/>
              </a:ext>
            </a:extLst>
          </xdr:cNvPr>
          <xdr:cNvSpPr/>
        </xdr:nvSpPr>
        <xdr:spPr>
          <a:xfrm>
            <a:off x="22434176" y="2793068"/>
            <a:ext cx="2947148" cy="1173815"/>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7" name="Speech Bubble: Oval 46">
            <a:extLst>
              <a:ext uri="{FF2B5EF4-FFF2-40B4-BE49-F238E27FC236}">
                <a16:creationId xmlns:a16="http://schemas.microsoft.com/office/drawing/2014/main" id="{08813B75-ADE4-46B1-AB61-065DBD1A2863}"/>
              </a:ext>
            </a:extLst>
          </xdr:cNvPr>
          <xdr:cNvSpPr/>
        </xdr:nvSpPr>
        <xdr:spPr>
          <a:xfrm>
            <a:off x="22075584" y="1112744"/>
            <a:ext cx="7989793" cy="1576667"/>
          </a:xfrm>
          <a:prstGeom prst="wedgeEllipseCallout">
            <a:avLst>
              <a:gd name="adj1" fmla="val -30614"/>
              <a:gd name="adj2" fmla="val 65069"/>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Select</a:t>
            </a:r>
            <a:r>
              <a:rPr lang="en-GB" sz="1100" baseline="0">
                <a:solidFill>
                  <a:srgbClr val="354F52"/>
                </a:solidFill>
              </a:rPr>
              <a:t> the transaction type:</a:t>
            </a:r>
          </a:p>
          <a:p>
            <a:pPr algn="l"/>
            <a:endParaRPr lang="en-GB" sz="1100" baseline="0">
              <a:solidFill>
                <a:srgbClr val="354F52"/>
              </a:solidFill>
            </a:endParaRPr>
          </a:p>
          <a:p>
            <a:pPr algn="l"/>
            <a:r>
              <a:rPr lang="en-GB" sz="1100" b="1" baseline="0">
                <a:solidFill>
                  <a:srgbClr val="354F52"/>
                </a:solidFill>
              </a:rPr>
              <a:t>Issue</a:t>
            </a:r>
            <a:r>
              <a:rPr lang="en-GB" sz="1100" baseline="0">
                <a:solidFill>
                  <a:srgbClr val="354F52"/>
                </a:solidFill>
              </a:rPr>
              <a:t>: Parts moved out of stock e.g. a custoimer order</a:t>
            </a:r>
          </a:p>
          <a:p>
            <a:pPr algn="l"/>
            <a:r>
              <a:rPr lang="en-GB" sz="1100" b="1" baseline="0">
                <a:solidFill>
                  <a:srgbClr val="354F52"/>
                </a:solidFill>
              </a:rPr>
              <a:t>Receipt: </a:t>
            </a:r>
            <a:r>
              <a:rPr lang="en-GB" sz="1100" baseline="0">
                <a:solidFill>
                  <a:srgbClr val="354F52"/>
                </a:solidFill>
              </a:rPr>
              <a:t>Parts moved into stock form a Purchase Order, A PO Number is mandatory for this transaction</a:t>
            </a:r>
          </a:p>
          <a:p>
            <a:pPr algn="l"/>
            <a:r>
              <a:rPr lang="en-GB" sz="1100" b="1" baseline="0">
                <a:solidFill>
                  <a:srgbClr val="354F52"/>
                </a:solidFill>
              </a:rPr>
              <a:t>Adjustment</a:t>
            </a:r>
            <a:r>
              <a:rPr lang="en-GB" sz="1100" baseline="0">
                <a:solidFill>
                  <a:srgbClr val="354F52"/>
                </a:solidFill>
              </a:rPr>
              <a:t>: Postivie or Negative to correct or change the stock on hand by a specififc  amount amount</a:t>
            </a:r>
            <a:endParaRPr lang="en-GB" sz="1100">
              <a:solidFill>
                <a:srgbClr val="354F52"/>
              </a:solidFill>
            </a:endParaRPr>
          </a:p>
        </xdr:txBody>
      </xdr:sp>
      <xdr:sp macro="" textlink="">
        <xdr:nvSpPr>
          <xdr:cNvPr id="48" name="Speech Bubble: Oval 47">
            <a:extLst>
              <a:ext uri="{FF2B5EF4-FFF2-40B4-BE49-F238E27FC236}">
                <a16:creationId xmlns:a16="http://schemas.microsoft.com/office/drawing/2014/main" id="{68D48363-C8E6-4C72-A712-FB11B0AD5E9D}"/>
              </a:ext>
            </a:extLst>
          </xdr:cNvPr>
          <xdr:cNvSpPr/>
        </xdr:nvSpPr>
        <xdr:spPr>
          <a:xfrm>
            <a:off x="25258059" y="4112559"/>
            <a:ext cx="4101353" cy="1019736"/>
          </a:xfrm>
          <a:prstGeom prst="wedgeEllipseCallout">
            <a:avLst>
              <a:gd name="adj1" fmla="val -23856"/>
              <a:gd name="adj2" fmla="val -99813"/>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latin typeface="+mn-lt"/>
                <a:ea typeface="+mn-ea"/>
                <a:cs typeface="+mn-cs"/>
              </a:rPr>
              <a:t>Enter a positive value</a:t>
            </a:r>
            <a:r>
              <a:rPr lang="en-GB" sz="1100" baseline="0">
                <a:solidFill>
                  <a:srgbClr val="354F52"/>
                </a:solidFill>
                <a:latin typeface="+mn-lt"/>
                <a:ea typeface="+mn-ea"/>
                <a:cs typeface="+mn-cs"/>
              </a:rPr>
              <a:t> unless an adjustment which allows both positive (add to On Hand) or Negative (Subtract from On Hand)</a:t>
            </a:r>
            <a:endParaRPr lang="en-GB" sz="1100">
              <a:solidFill>
                <a:srgbClr val="354F52"/>
              </a:solidFill>
            </a:endParaRPr>
          </a:p>
        </xdr:txBody>
      </xdr:sp>
      <xdr:sp macro="" textlink="">
        <xdr:nvSpPr>
          <xdr:cNvPr id="49" name="Oval 48">
            <a:extLst>
              <a:ext uri="{FF2B5EF4-FFF2-40B4-BE49-F238E27FC236}">
                <a16:creationId xmlns:a16="http://schemas.microsoft.com/office/drawing/2014/main" id="{593554AC-116A-4473-AF74-39B21083CD61}"/>
              </a:ext>
            </a:extLst>
          </xdr:cNvPr>
          <xdr:cNvSpPr/>
        </xdr:nvSpPr>
        <xdr:spPr>
          <a:xfrm>
            <a:off x="25690605" y="2902325"/>
            <a:ext cx="1322294" cy="585511"/>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6" name="Speech Bubble: Oval 105">
            <a:extLst>
              <a:ext uri="{FF2B5EF4-FFF2-40B4-BE49-F238E27FC236}">
                <a16:creationId xmlns:a16="http://schemas.microsoft.com/office/drawing/2014/main" id="{D043F1A6-0910-4B51-B882-41E209B16694}"/>
              </a:ext>
            </a:extLst>
          </xdr:cNvPr>
          <xdr:cNvSpPr/>
        </xdr:nvSpPr>
        <xdr:spPr>
          <a:xfrm>
            <a:off x="28843938" y="2458569"/>
            <a:ext cx="2182346" cy="991721"/>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Press Create</a:t>
            </a:r>
            <a:r>
              <a:rPr lang="en-GB" sz="1100" baseline="0">
                <a:solidFill>
                  <a:srgbClr val="354F52"/>
                </a:solidFill>
              </a:rPr>
              <a:t> once all</a:t>
            </a:r>
            <a:r>
              <a:rPr lang="en-GB" sz="1100">
                <a:solidFill>
                  <a:srgbClr val="354F52"/>
                </a:solidFill>
              </a:rPr>
              <a:t> the details have been entered</a:t>
            </a:r>
          </a:p>
        </xdr:txBody>
      </xdr:sp>
    </xdr:grpSp>
    <xdr:clientData/>
  </xdr:twoCellAnchor>
  <xdr:twoCellAnchor>
    <xdr:from>
      <xdr:col>31</xdr:col>
      <xdr:colOff>324971</xdr:colOff>
      <xdr:row>33</xdr:row>
      <xdr:rowOff>61071</xdr:rowOff>
    </xdr:from>
    <xdr:to>
      <xdr:col>44</xdr:col>
      <xdr:colOff>554328</xdr:colOff>
      <xdr:row>51</xdr:row>
      <xdr:rowOff>78758</xdr:rowOff>
    </xdr:to>
    <xdr:grpSp>
      <xdr:nvGrpSpPr>
        <xdr:cNvPr id="118" name="Group 117">
          <a:extLst>
            <a:ext uri="{FF2B5EF4-FFF2-40B4-BE49-F238E27FC236}">
              <a16:creationId xmlns:a16="http://schemas.microsoft.com/office/drawing/2014/main" id="{D72744EB-3A33-BDC7-A685-137A2FA9E031}"/>
            </a:ext>
          </a:extLst>
        </xdr:cNvPr>
        <xdr:cNvGrpSpPr/>
      </xdr:nvGrpSpPr>
      <xdr:grpSpPr>
        <a:xfrm>
          <a:off x="23346896" y="9595596"/>
          <a:ext cx="9468607" cy="3789587"/>
          <a:chOff x="23297029" y="9899836"/>
          <a:chExt cx="9440592" cy="3850099"/>
        </a:xfrm>
      </xdr:grpSpPr>
      <xdr:pic>
        <xdr:nvPicPr>
          <xdr:cNvPr id="114" name="Picture 113">
            <a:extLst>
              <a:ext uri="{FF2B5EF4-FFF2-40B4-BE49-F238E27FC236}">
                <a16:creationId xmlns:a16="http://schemas.microsoft.com/office/drawing/2014/main" id="{585CE346-43AF-D8BA-DCC4-F3F43BB73E9E}"/>
              </a:ext>
            </a:extLst>
          </xdr:cNvPr>
          <xdr:cNvPicPr>
            <a:picLocks noChangeAspect="1"/>
          </xdr:cNvPicPr>
        </xdr:nvPicPr>
        <xdr:blipFill>
          <a:blip xmlns:r="http://schemas.openxmlformats.org/officeDocument/2006/relationships" r:embed="rId18"/>
          <a:stretch>
            <a:fillRect/>
          </a:stretch>
        </xdr:blipFill>
        <xdr:spPr>
          <a:xfrm>
            <a:off x="23297029" y="11463616"/>
            <a:ext cx="9440592" cy="2286319"/>
          </a:xfrm>
          <a:prstGeom prst="rect">
            <a:avLst/>
          </a:prstGeom>
        </xdr:spPr>
      </xdr:pic>
      <xdr:sp macro="" textlink="">
        <xdr:nvSpPr>
          <xdr:cNvPr id="109" name="TextBox 108">
            <a:extLst>
              <a:ext uri="{FF2B5EF4-FFF2-40B4-BE49-F238E27FC236}">
                <a16:creationId xmlns:a16="http://schemas.microsoft.com/office/drawing/2014/main" id="{044BAC47-3A5A-FAAD-C1F6-F651A0AC829D}"/>
              </a:ext>
            </a:extLst>
          </xdr:cNvPr>
          <xdr:cNvSpPr txBox="1"/>
        </xdr:nvSpPr>
        <xdr:spPr>
          <a:xfrm>
            <a:off x="24147555" y="9899836"/>
            <a:ext cx="680309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GB" sz="2400" b="1">
                <a:solidFill>
                  <a:srgbClr val="2F3E46"/>
                </a:solidFill>
                <a:latin typeface="+mn-lt"/>
                <a:ea typeface="+mn-ea"/>
                <a:cs typeface="+mn-cs"/>
              </a:rPr>
              <a:t>Suppliers, Units of Measure and Categories</a:t>
            </a:r>
          </a:p>
          <a:p>
            <a:pPr marL="0" indent="0" algn="l"/>
            <a:endParaRPr lang="en-GB" sz="2400" b="1">
              <a:solidFill>
                <a:srgbClr val="2F3E46"/>
              </a:solidFill>
              <a:latin typeface="+mn-lt"/>
              <a:ea typeface="+mn-ea"/>
              <a:cs typeface="+mn-cs"/>
            </a:endParaRPr>
          </a:p>
        </xdr:txBody>
      </xdr:sp>
      <xdr:sp macro="" textlink="">
        <xdr:nvSpPr>
          <xdr:cNvPr id="111" name="Speech Bubble: Oval 110">
            <a:extLst>
              <a:ext uri="{FF2B5EF4-FFF2-40B4-BE49-F238E27FC236}">
                <a16:creationId xmlns:a16="http://schemas.microsoft.com/office/drawing/2014/main" id="{6F4E8A60-6712-54BC-FC49-151527301211}"/>
              </a:ext>
            </a:extLst>
          </xdr:cNvPr>
          <xdr:cNvSpPr/>
        </xdr:nvSpPr>
        <xdr:spPr>
          <a:xfrm>
            <a:off x="26979285" y="10601324"/>
            <a:ext cx="3439646" cy="1261222"/>
          </a:xfrm>
          <a:prstGeom prst="wedgeEllipseCallout">
            <a:avLst/>
          </a:prstGeom>
          <a:solidFill>
            <a:srgbClr val="CAD2C5"/>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354F52"/>
                </a:solidFill>
              </a:rPr>
              <a:t>As the data is typically static the tables are manually updated ,</a:t>
            </a:r>
            <a:r>
              <a:rPr lang="en-GB" sz="1100" baseline="0">
                <a:solidFill>
                  <a:srgbClr val="354F52"/>
                </a:solidFill>
              </a:rPr>
              <a:t> They can be </a:t>
            </a:r>
            <a:r>
              <a:rPr lang="en-GB" sz="1100">
                <a:solidFill>
                  <a:srgbClr val="354F52"/>
                </a:solidFill>
              </a:rPr>
              <a:t>found via the 'DataBase'</a:t>
            </a:r>
            <a:r>
              <a:rPr lang="en-GB" sz="1100" baseline="0">
                <a:solidFill>
                  <a:srgbClr val="354F52"/>
                </a:solidFill>
              </a:rPr>
              <a:t> Tab</a:t>
            </a:r>
            <a:endParaRPr lang="en-GB" sz="1100">
              <a:solidFill>
                <a:srgbClr val="354F52"/>
              </a:solidFill>
            </a:endParaRPr>
          </a:p>
        </xdr:txBody>
      </xdr:sp>
    </xdr:grpSp>
    <xdr:clientData/>
  </xdr:twoCellAnchor>
  <xdr:twoCellAnchor>
    <xdr:from>
      <xdr:col>31</xdr:col>
      <xdr:colOff>527032</xdr:colOff>
      <xdr:row>17</xdr:row>
      <xdr:rowOff>107783</xdr:rowOff>
    </xdr:from>
    <xdr:to>
      <xdr:col>37</xdr:col>
      <xdr:colOff>360320</xdr:colOff>
      <xdr:row>28</xdr:row>
      <xdr:rowOff>123266</xdr:rowOff>
    </xdr:to>
    <xdr:grpSp>
      <xdr:nvGrpSpPr>
        <xdr:cNvPr id="117" name="Group 116">
          <a:extLst>
            <a:ext uri="{FF2B5EF4-FFF2-40B4-BE49-F238E27FC236}">
              <a16:creationId xmlns:a16="http://schemas.microsoft.com/office/drawing/2014/main" id="{D612A8D9-0EE5-A1AE-1833-4A5624503E6A}"/>
            </a:ext>
          </a:extLst>
        </xdr:cNvPr>
        <xdr:cNvGrpSpPr/>
      </xdr:nvGrpSpPr>
      <xdr:grpSpPr>
        <a:xfrm>
          <a:off x="23548957" y="5918033"/>
          <a:ext cx="4376713" cy="2692008"/>
          <a:chOff x="23633562" y="5609871"/>
          <a:chExt cx="4371670" cy="2716100"/>
        </a:xfrm>
      </xdr:grpSpPr>
      <xdr:sp macro="" textlink="">
        <xdr:nvSpPr>
          <xdr:cNvPr id="59" name="TextBox 58">
            <a:extLst>
              <a:ext uri="{FF2B5EF4-FFF2-40B4-BE49-F238E27FC236}">
                <a16:creationId xmlns:a16="http://schemas.microsoft.com/office/drawing/2014/main" id="{814D8B4D-811B-4D9F-B55C-D747DC3CE100}"/>
              </a:ext>
            </a:extLst>
          </xdr:cNvPr>
          <xdr:cNvSpPr txBox="1"/>
        </xdr:nvSpPr>
        <xdr:spPr>
          <a:xfrm>
            <a:off x="23633562" y="5609871"/>
            <a:ext cx="41388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GB" sz="2400" b="1">
                <a:solidFill>
                  <a:srgbClr val="2F3E46"/>
                </a:solidFill>
                <a:latin typeface="+mn-lt"/>
                <a:ea typeface="+mn-ea"/>
                <a:cs typeface="+mn-cs"/>
              </a:rPr>
              <a:t>Update an existing Transaction</a:t>
            </a:r>
          </a:p>
        </xdr:txBody>
      </xdr:sp>
      <xdr:sp macro="" textlink="">
        <xdr:nvSpPr>
          <xdr:cNvPr id="116" name="Rectangle: Rounded Corners 115">
            <a:extLst>
              <a:ext uri="{FF2B5EF4-FFF2-40B4-BE49-F238E27FC236}">
                <a16:creationId xmlns:a16="http://schemas.microsoft.com/office/drawing/2014/main" id="{0451BF95-9241-4512-AA44-2EDD759585D4}"/>
              </a:ext>
            </a:extLst>
          </xdr:cNvPr>
          <xdr:cNvSpPr/>
        </xdr:nvSpPr>
        <xdr:spPr>
          <a:xfrm>
            <a:off x="25195917" y="6445316"/>
            <a:ext cx="2809315" cy="1880655"/>
          </a:xfrm>
          <a:prstGeom prst="roundRect">
            <a:avLst/>
          </a:prstGeom>
          <a:solidFill>
            <a:srgbClr val="DAEB3D"/>
          </a:solidFill>
          <a:ln>
            <a:solidFill>
              <a:srgbClr val="354F5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a:solidFill>
                  <a:srgbClr val="354F52"/>
                </a:solidFill>
                <a:latin typeface="+mn-lt"/>
                <a:ea typeface="+mn-ea"/>
                <a:cs typeface="+mn-cs"/>
              </a:rPr>
              <a:t>⚠️ Transactions cannot be changed as this would compromise any audit trail. If a mistake has been made add a new transaction with a note confirming this was a correction.</a:t>
            </a:r>
          </a:p>
          <a:p>
            <a:r>
              <a:rPr lang="en-GB" sz="1100">
                <a:solidFill>
                  <a:srgbClr val="354F52"/>
                </a:solidFill>
                <a:latin typeface="+mn-lt"/>
                <a:ea typeface="+mn-ea"/>
                <a:cs typeface="+mn-cs"/>
              </a:rPr>
              <a:t>For instance an issue shuld have been for 10 but was mistakenly input as 100, make an anjustment for 90 and in the notes expalin the was to correct an over issue.</a:t>
            </a:r>
          </a:p>
          <a:p>
            <a:pPr marL="0" indent="0" algn="l"/>
            <a:endParaRPr lang="en-GB" sz="1100">
              <a:solidFill>
                <a:srgbClr val="354F52"/>
              </a:solidFill>
              <a:latin typeface="+mn-lt"/>
              <a:ea typeface="+mn-ea"/>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565107</xdr:rowOff>
    </xdr:from>
    <xdr:to>
      <xdr:col>3</xdr:col>
      <xdr:colOff>152400</xdr:colOff>
      <xdr:row>42</xdr:row>
      <xdr:rowOff>19049</xdr:rowOff>
    </xdr:to>
    <xdr:sp macro="" textlink="">
      <xdr:nvSpPr>
        <xdr:cNvPr id="10" name="Rectangle 9">
          <a:extLst>
            <a:ext uri="{FF2B5EF4-FFF2-40B4-BE49-F238E27FC236}">
              <a16:creationId xmlns:a16="http://schemas.microsoft.com/office/drawing/2014/main" id="{FD2E9E90-8972-4367-B165-68EB1CE9FAE9}"/>
            </a:ext>
          </a:extLst>
        </xdr:cNvPr>
        <xdr:cNvSpPr/>
      </xdr:nvSpPr>
      <xdr:spPr>
        <a:xfrm>
          <a:off x="0" y="565107"/>
          <a:ext cx="1967753" cy="10177971"/>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542925</xdr:colOff>
      <xdr:row>2</xdr:row>
      <xdr:rowOff>0</xdr:rowOff>
    </xdr:from>
    <xdr:to>
      <xdr:col>12</xdr:col>
      <xdr:colOff>32657</xdr:colOff>
      <xdr:row>28</xdr:row>
      <xdr:rowOff>9524</xdr:rowOff>
    </xdr:to>
    <xdr:sp macro="" textlink="">
      <xdr:nvSpPr>
        <xdr:cNvPr id="19" name="Rectangle: Rounded Corners 18">
          <a:extLst>
            <a:ext uri="{FF2B5EF4-FFF2-40B4-BE49-F238E27FC236}">
              <a16:creationId xmlns:a16="http://schemas.microsoft.com/office/drawing/2014/main" id="{C0F79747-D576-DC4B-53A6-1FC30E6BA992}"/>
            </a:ext>
          </a:extLst>
        </xdr:cNvPr>
        <xdr:cNvSpPr/>
      </xdr:nvSpPr>
      <xdr:spPr>
        <a:xfrm>
          <a:off x="2981325" y="1200148"/>
          <a:ext cx="7700282" cy="6515101"/>
        </a:xfrm>
        <a:prstGeom prst="roundRect">
          <a:avLst>
            <a:gd name="adj" fmla="val 1761"/>
          </a:avLst>
        </a:prstGeom>
        <a:noFill/>
        <a:ln w="76200">
          <a:solidFill>
            <a:srgbClr val="84A98C"/>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3</xdr:col>
      <xdr:colOff>139210</xdr:colOff>
      <xdr:row>1</xdr:row>
      <xdr:rowOff>3133</xdr:rowOff>
    </xdr:from>
    <xdr:to>
      <xdr:col>3</xdr:col>
      <xdr:colOff>457199</xdr:colOff>
      <xdr:row>42</xdr:row>
      <xdr:rowOff>47625</xdr:rowOff>
    </xdr:to>
    <xdr:sp macro="" textlink="">
      <xdr:nvSpPr>
        <xdr:cNvPr id="22" name="Rectangle 21">
          <a:extLst>
            <a:ext uri="{FF2B5EF4-FFF2-40B4-BE49-F238E27FC236}">
              <a16:creationId xmlns:a16="http://schemas.microsoft.com/office/drawing/2014/main" id="{4B21EE3B-0523-46BC-B42B-94D6FFA0F4A9}"/>
            </a:ext>
          </a:extLst>
        </xdr:cNvPr>
        <xdr:cNvSpPr/>
      </xdr:nvSpPr>
      <xdr:spPr>
        <a:xfrm>
          <a:off x="1968010" y="622258"/>
          <a:ext cx="317989" cy="10407692"/>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123825</xdr:colOff>
      <xdr:row>2</xdr:row>
      <xdr:rowOff>85725</xdr:rowOff>
    </xdr:from>
    <xdr:to>
      <xdr:col>17</xdr:col>
      <xdr:colOff>534225</xdr:colOff>
      <xdr:row>2</xdr:row>
      <xdr:rowOff>496125</xdr:rowOff>
    </xdr:to>
    <xdr:pic>
      <xdr:nvPicPr>
        <xdr:cNvPr id="34" name="Graphic 33" descr="Bar graph with upward trend with solid fill">
          <a:extLst>
            <a:ext uri="{FF2B5EF4-FFF2-40B4-BE49-F238E27FC236}">
              <a16:creationId xmlns:a16="http://schemas.microsoft.com/office/drawing/2014/main" id="{F4D9B99F-88B3-49B2-0740-EA3B3965E8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39200" y="1533525"/>
          <a:ext cx="410400" cy="410400"/>
        </a:xfrm>
        <a:prstGeom prst="rect">
          <a:avLst/>
        </a:prstGeom>
      </xdr:spPr>
    </xdr:pic>
    <xdr:clientData/>
  </xdr:twoCellAnchor>
  <xdr:twoCellAnchor>
    <xdr:from>
      <xdr:col>15</xdr:col>
      <xdr:colOff>247649</xdr:colOff>
      <xdr:row>2</xdr:row>
      <xdr:rowOff>0</xdr:rowOff>
    </xdr:from>
    <xdr:to>
      <xdr:col>26</xdr:col>
      <xdr:colOff>38100</xdr:colOff>
      <xdr:row>10</xdr:row>
      <xdr:rowOff>28575</xdr:rowOff>
    </xdr:to>
    <xdr:sp macro="" textlink="">
      <xdr:nvSpPr>
        <xdr:cNvPr id="31" name="Rectangle: Rounded Corners 30">
          <a:extLst>
            <a:ext uri="{FF2B5EF4-FFF2-40B4-BE49-F238E27FC236}">
              <a16:creationId xmlns:a16="http://schemas.microsoft.com/office/drawing/2014/main" id="{FE4D5D7F-DD81-4F5B-B31A-B9B427275D67}"/>
            </a:ext>
          </a:extLst>
        </xdr:cNvPr>
        <xdr:cNvSpPr/>
      </xdr:nvSpPr>
      <xdr:spPr>
        <a:xfrm>
          <a:off x="12344399" y="1209675"/>
          <a:ext cx="7639051" cy="2409825"/>
        </a:xfrm>
        <a:prstGeom prst="roundRect">
          <a:avLst>
            <a:gd name="adj" fmla="val 3252"/>
          </a:avLst>
        </a:prstGeom>
        <a:noFill/>
        <a:ln w="76200">
          <a:solidFill>
            <a:srgbClr val="84A98C"/>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U" sz="1100">
            <a:solidFill>
              <a:schemeClr val="lt1"/>
            </a:solidFill>
            <a:latin typeface="+mn-lt"/>
            <a:ea typeface="+mn-ea"/>
            <a:cs typeface="+mn-cs"/>
          </a:endParaRPr>
        </a:p>
      </xdr:txBody>
    </xdr:sp>
    <xdr:clientData/>
  </xdr:twoCellAnchor>
  <xdr:twoCellAnchor>
    <xdr:from>
      <xdr:col>4</xdr:col>
      <xdr:colOff>531813</xdr:colOff>
      <xdr:row>28</xdr:row>
      <xdr:rowOff>209549</xdr:rowOff>
    </xdr:from>
    <xdr:to>
      <xdr:col>12</xdr:col>
      <xdr:colOff>32657</xdr:colOff>
      <xdr:row>38</xdr:row>
      <xdr:rowOff>22049</xdr:rowOff>
    </xdr:to>
    <xdr:sp macro="" textlink="">
      <xdr:nvSpPr>
        <xdr:cNvPr id="2" name="Rectangle: Rounded Corners 1">
          <a:extLst>
            <a:ext uri="{FF2B5EF4-FFF2-40B4-BE49-F238E27FC236}">
              <a16:creationId xmlns:a16="http://schemas.microsoft.com/office/drawing/2014/main" id="{E8035C74-96EA-4A40-A2FE-7B235BAA6F61}"/>
            </a:ext>
          </a:extLst>
        </xdr:cNvPr>
        <xdr:cNvSpPr/>
      </xdr:nvSpPr>
      <xdr:spPr>
        <a:xfrm>
          <a:off x="2970213" y="7505699"/>
          <a:ext cx="6844619" cy="1908000"/>
        </a:xfrm>
        <a:prstGeom prst="roundRect">
          <a:avLst>
            <a:gd name="adj" fmla="val 6342"/>
          </a:avLst>
        </a:prstGeom>
        <a:noFill/>
        <a:ln w="76200">
          <a:solidFill>
            <a:srgbClr val="84A98C"/>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5</xdr:col>
      <xdr:colOff>152399</xdr:colOff>
      <xdr:row>29</xdr:row>
      <xdr:rowOff>76199</xdr:rowOff>
    </xdr:from>
    <xdr:to>
      <xdr:col>6</xdr:col>
      <xdr:colOff>285749</xdr:colOff>
      <xdr:row>31</xdr:row>
      <xdr:rowOff>142874</xdr:rowOff>
    </xdr:to>
    <xdr:pic>
      <xdr:nvPicPr>
        <xdr:cNvPr id="14" name="Graphic 13" descr="Presentation with pie chart with solid fill">
          <a:extLst>
            <a:ext uri="{FF2B5EF4-FFF2-40B4-BE49-F238E27FC236}">
              <a16:creationId xmlns:a16="http://schemas.microsoft.com/office/drawing/2014/main" id="{02E80713-AFF6-9394-B64E-C405B83F01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43249" y="7581899"/>
          <a:ext cx="485775" cy="485775"/>
        </a:xfrm>
        <a:prstGeom prst="rect">
          <a:avLst/>
        </a:prstGeom>
      </xdr:spPr>
    </xdr:pic>
    <xdr:clientData/>
  </xdr:twoCellAnchor>
  <xdr:twoCellAnchor>
    <xdr:from>
      <xdr:col>0</xdr:col>
      <xdr:colOff>150813</xdr:colOff>
      <xdr:row>6</xdr:row>
      <xdr:rowOff>230188</xdr:rowOff>
    </xdr:from>
    <xdr:to>
      <xdr:col>4</xdr:col>
      <xdr:colOff>86196</xdr:colOff>
      <xdr:row>9</xdr:row>
      <xdr:rowOff>107908</xdr:rowOff>
    </xdr:to>
    <xdr:grpSp>
      <xdr:nvGrpSpPr>
        <xdr:cNvPr id="42" name="Group 41">
          <a:extLst>
            <a:ext uri="{FF2B5EF4-FFF2-40B4-BE49-F238E27FC236}">
              <a16:creationId xmlns:a16="http://schemas.microsoft.com/office/drawing/2014/main" id="{4173894E-165F-03E0-2CE4-B974707EC7C6}"/>
            </a:ext>
          </a:extLst>
        </xdr:cNvPr>
        <xdr:cNvGrpSpPr/>
      </xdr:nvGrpSpPr>
      <xdr:grpSpPr>
        <a:xfrm>
          <a:off x="150813" y="2363788"/>
          <a:ext cx="2373783" cy="715920"/>
          <a:chOff x="169863" y="2363788"/>
          <a:chExt cx="2373783" cy="715920"/>
        </a:xfrm>
      </xdr:grpSpPr>
      <xdr:sp macro="" textlink="">
        <xdr:nvSpPr>
          <xdr:cNvPr id="56" name="Rectangle: Rounded Corners 55">
            <a:extLst>
              <a:ext uri="{FF2B5EF4-FFF2-40B4-BE49-F238E27FC236}">
                <a16:creationId xmlns:a16="http://schemas.microsoft.com/office/drawing/2014/main" id="{D64D4875-0DD4-4F0A-8878-ED0A373DDC20}"/>
              </a:ext>
            </a:extLst>
          </xdr:cNvPr>
          <xdr:cNvSpPr/>
        </xdr:nvSpPr>
        <xdr:spPr>
          <a:xfrm>
            <a:off x="169863" y="2363788"/>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38" name="Group 37">
            <a:extLst>
              <a:ext uri="{FF2B5EF4-FFF2-40B4-BE49-F238E27FC236}">
                <a16:creationId xmlns:a16="http://schemas.microsoft.com/office/drawing/2014/main" id="{0D60A90C-2581-47D8-2D5F-803A319137EC}"/>
              </a:ext>
            </a:extLst>
          </xdr:cNvPr>
          <xdr:cNvGrpSpPr/>
        </xdr:nvGrpSpPr>
        <xdr:grpSpPr>
          <a:xfrm>
            <a:off x="304800" y="2422483"/>
            <a:ext cx="2238846" cy="657225"/>
            <a:chOff x="304800" y="2879683"/>
            <a:chExt cx="2238846" cy="657225"/>
          </a:xfrm>
        </xdr:grpSpPr>
        <xdr:pic>
          <xdr:nvPicPr>
            <xdr:cNvPr id="51" name="Graphic 50" descr="Database with solid fill">
              <a:extLst>
                <a:ext uri="{FF2B5EF4-FFF2-40B4-BE49-F238E27FC236}">
                  <a16:creationId xmlns:a16="http://schemas.microsoft.com/office/drawing/2014/main" id="{98B368A0-0DA2-3C40-9B93-72C4D65CC9B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5271" y="2946358"/>
              <a:ext cx="456444" cy="468000"/>
            </a:xfrm>
            <a:prstGeom prst="rect">
              <a:avLst/>
            </a:prstGeom>
          </xdr:spPr>
        </xdr:pic>
        <xdr:sp macro="" textlink="">
          <xdr:nvSpPr>
            <xdr:cNvPr id="50" name="Rectangle 49">
              <a:hlinkClick xmlns:r="http://schemas.openxmlformats.org/officeDocument/2006/relationships" r:id="rId7"/>
              <a:extLst>
                <a:ext uri="{FF2B5EF4-FFF2-40B4-BE49-F238E27FC236}">
                  <a16:creationId xmlns:a16="http://schemas.microsoft.com/office/drawing/2014/main" id="{E848EB32-0575-03EC-415E-63649E032DA9}"/>
                </a:ext>
              </a:extLst>
            </xdr:cNvPr>
            <xdr:cNvSpPr/>
          </xdr:nvSpPr>
          <xdr:spPr>
            <a:xfrm>
              <a:off x="304800" y="2879683"/>
              <a:ext cx="223884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DataBase</a:t>
              </a:r>
            </a:p>
          </xdr:txBody>
        </xdr:sp>
      </xdr:grpSp>
    </xdr:grpSp>
    <xdr:clientData/>
  </xdr:twoCellAnchor>
  <xdr:twoCellAnchor>
    <xdr:from>
      <xdr:col>0</xdr:col>
      <xdr:colOff>485775</xdr:colOff>
      <xdr:row>3</xdr:row>
      <xdr:rowOff>161925</xdr:rowOff>
    </xdr:from>
    <xdr:to>
      <xdr:col>5</xdr:col>
      <xdr:colOff>9822</xdr:colOff>
      <xdr:row>6</xdr:row>
      <xdr:rowOff>95250</xdr:rowOff>
    </xdr:to>
    <xdr:grpSp>
      <xdr:nvGrpSpPr>
        <xdr:cNvPr id="35" name="Group 34">
          <a:hlinkClick xmlns:r="http://schemas.openxmlformats.org/officeDocument/2006/relationships" r:id="rId8"/>
          <a:extLst>
            <a:ext uri="{FF2B5EF4-FFF2-40B4-BE49-F238E27FC236}">
              <a16:creationId xmlns:a16="http://schemas.microsoft.com/office/drawing/2014/main" id="{4D1EC3E2-827F-9A61-F2EF-EC3D2B2F8673}"/>
            </a:ext>
          </a:extLst>
        </xdr:cNvPr>
        <xdr:cNvGrpSpPr/>
      </xdr:nvGrpSpPr>
      <xdr:grpSpPr>
        <a:xfrm>
          <a:off x="485775" y="1533525"/>
          <a:ext cx="2514897" cy="695325"/>
          <a:chOff x="485775" y="1152525"/>
          <a:chExt cx="2514897" cy="695325"/>
        </a:xfrm>
      </xdr:grpSpPr>
      <xdr:sp macro="" textlink="">
        <xdr:nvSpPr>
          <xdr:cNvPr id="52" name="Rectangle: Rounded Corners 51">
            <a:extLst>
              <a:ext uri="{FF2B5EF4-FFF2-40B4-BE49-F238E27FC236}">
                <a16:creationId xmlns:a16="http://schemas.microsoft.com/office/drawing/2014/main" id="{2860B4E3-1329-42C1-9C84-E92F0AB293B8}"/>
              </a:ext>
            </a:extLst>
          </xdr:cNvPr>
          <xdr:cNvSpPr/>
        </xdr:nvSpPr>
        <xdr:spPr>
          <a:xfrm>
            <a:off x="485775" y="1152525"/>
            <a:ext cx="2133600"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pic>
        <xdr:nvPicPr>
          <xdr:cNvPr id="11" name="Graphic 10" descr="Search Inventory with solid fill">
            <a:extLst>
              <a:ext uri="{FF2B5EF4-FFF2-40B4-BE49-F238E27FC236}">
                <a16:creationId xmlns:a16="http://schemas.microsoft.com/office/drawing/2014/main" id="{16598BB5-A542-407F-87AA-CC5B1ACA50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1257300"/>
            <a:ext cx="468000" cy="468000"/>
          </a:xfrm>
          <a:prstGeom prst="rect">
            <a:avLst/>
          </a:prstGeom>
        </xdr:spPr>
      </xdr:pic>
      <xdr:sp macro="" textlink="">
        <xdr:nvSpPr>
          <xdr:cNvPr id="12" name="Rectangle 11">
            <a:hlinkClick xmlns:r="http://schemas.openxmlformats.org/officeDocument/2006/relationships" r:id="rId11"/>
            <a:extLst>
              <a:ext uri="{FF2B5EF4-FFF2-40B4-BE49-F238E27FC236}">
                <a16:creationId xmlns:a16="http://schemas.microsoft.com/office/drawing/2014/main" id="{9E3E9BB5-18F0-4499-A82C-8A4C676366BE}"/>
              </a:ext>
            </a:extLst>
          </xdr:cNvPr>
          <xdr:cNvSpPr/>
        </xdr:nvSpPr>
        <xdr:spPr>
          <a:xfrm>
            <a:off x="762000" y="1181100"/>
            <a:ext cx="2238672"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rgbClr val="354F52"/>
                </a:solidFill>
                <a:latin typeface="+mn-lt"/>
                <a:ea typeface="ADLaM Display" panose="02010000000000000000" pitchFamily="2" charset="0"/>
                <a:cs typeface="ADLaM Display" panose="02010000000000000000" pitchFamily="2" charset="0"/>
              </a:rPr>
              <a:t>Product</a:t>
            </a:r>
          </a:p>
        </xdr:txBody>
      </xdr:sp>
    </xdr:grpSp>
    <xdr:clientData/>
  </xdr:twoCellAnchor>
  <xdr:twoCellAnchor>
    <xdr:from>
      <xdr:col>6</xdr:col>
      <xdr:colOff>0</xdr:colOff>
      <xdr:row>2</xdr:row>
      <xdr:rowOff>28575</xdr:rowOff>
    </xdr:from>
    <xdr:to>
      <xdr:col>6</xdr:col>
      <xdr:colOff>468000</xdr:colOff>
      <xdr:row>2</xdr:row>
      <xdr:rowOff>496575</xdr:rowOff>
    </xdr:to>
    <xdr:pic>
      <xdr:nvPicPr>
        <xdr:cNvPr id="13" name="Graphic 12" descr="Search Inventory with solid fill">
          <a:extLst>
            <a:ext uri="{FF2B5EF4-FFF2-40B4-BE49-F238E27FC236}">
              <a16:creationId xmlns:a16="http://schemas.microsoft.com/office/drawing/2014/main" id="{F99206E7-341C-43D4-9567-5AEE488B09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2"/>
            </a:ext>
          </a:extLst>
        </a:blip>
        <a:stretch>
          <a:fillRect/>
        </a:stretch>
      </xdr:blipFill>
      <xdr:spPr>
        <a:xfrm>
          <a:off x="3219450" y="1266825"/>
          <a:ext cx="468000" cy="468000"/>
        </a:xfrm>
        <a:prstGeom prst="rect">
          <a:avLst/>
        </a:prstGeom>
      </xdr:spPr>
    </xdr:pic>
    <xdr:clientData/>
  </xdr:twoCellAnchor>
  <xdr:twoCellAnchor>
    <xdr:from>
      <xdr:col>7</xdr:col>
      <xdr:colOff>447675</xdr:colOff>
      <xdr:row>12</xdr:row>
      <xdr:rowOff>171450</xdr:rowOff>
    </xdr:from>
    <xdr:to>
      <xdr:col>11</xdr:col>
      <xdr:colOff>19050</xdr:colOff>
      <xdr:row>12</xdr:row>
      <xdr:rowOff>171450</xdr:rowOff>
    </xdr:to>
    <xdr:cxnSp macro="">
      <xdr:nvCxnSpPr>
        <xdr:cNvPr id="17" name="Straight Connector 16">
          <a:extLst>
            <a:ext uri="{FF2B5EF4-FFF2-40B4-BE49-F238E27FC236}">
              <a16:creationId xmlns:a16="http://schemas.microsoft.com/office/drawing/2014/main" id="{EF01AD52-89C6-A6BF-5D6A-B4C98824E98B}"/>
            </a:ext>
          </a:extLst>
        </xdr:cNvPr>
        <xdr:cNvCxnSpPr/>
      </xdr:nvCxnSpPr>
      <xdr:spPr>
        <a:xfrm>
          <a:off x="4572000" y="3352800"/>
          <a:ext cx="4991100" cy="0"/>
        </a:xfrm>
        <a:prstGeom prst="line">
          <a:avLst/>
        </a:prstGeom>
        <a:noFill/>
        <a:ln w="76200">
          <a:solidFill>
            <a:srgbClr val="84A98C"/>
          </a:solidFill>
        </a:ln>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7</xdr:col>
      <xdr:colOff>447675</xdr:colOff>
      <xdr:row>18</xdr:row>
      <xdr:rowOff>161925</xdr:rowOff>
    </xdr:from>
    <xdr:to>
      <xdr:col>11</xdr:col>
      <xdr:colOff>19050</xdr:colOff>
      <xdr:row>18</xdr:row>
      <xdr:rowOff>161925</xdr:rowOff>
    </xdr:to>
    <xdr:cxnSp macro="">
      <xdr:nvCxnSpPr>
        <xdr:cNvPr id="25" name="Straight Connector 24">
          <a:extLst>
            <a:ext uri="{FF2B5EF4-FFF2-40B4-BE49-F238E27FC236}">
              <a16:creationId xmlns:a16="http://schemas.microsoft.com/office/drawing/2014/main" id="{FA0E677F-ABD8-4BFD-AE9D-06B6677C3F24}"/>
            </a:ext>
          </a:extLst>
        </xdr:cNvPr>
        <xdr:cNvCxnSpPr/>
      </xdr:nvCxnSpPr>
      <xdr:spPr>
        <a:xfrm>
          <a:off x="4572000" y="4914900"/>
          <a:ext cx="4991100" cy="0"/>
        </a:xfrm>
        <a:prstGeom prst="line">
          <a:avLst/>
        </a:prstGeom>
        <a:noFill/>
        <a:ln w="76200">
          <a:solidFill>
            <a:srgbClr val="84A98C"/>
          </a:solidFill>
        </a:ln>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0</xdr:col>
      <xdr:colOff>152400</xdr:colOff>
      <xdr:row>1</xdr:row>
      <xdr:rowOff>95250</xdr:rowOff>
    </xdr:from>
    <xdr:to>
      <xdr:col>4</xdr:col>
      <xdr:colOff>180974</xdr:colOff>
      <xdr:row>3</xdr:row>
      <xdr:rowOff>38100</xdr:rowOff>
    </xdr:to>
    <xdr:grpSp>
      <xdr:nvGrpSpPr>
        <xdr:cNvPr id="3" name="Group 2">
          <a:hlinkClick xmlns:r="http://schemas.openxmlformats.org/officeDocument/2006/relationships" r:id="rId13"/>
          <a:extLst>
            <a:ext uri="{FF2B5EF4-FFF2-40B4-BE49-F238E27FC236}">
              <a16:creationId xmlns:a16="http://schemas.microsoft.com/office/drawing/2014/main" id="{BAF3DE69-42BA-7B8B-747A-78B214D995D8}"/>
            </a:ext>
          </a:extLst>
        </xdr:cNvPr>
        <xdr:cNvGrpSpPr/>
      </xdr:nvGrpSpPr>
      <xdr:grpSpPr>
        <a:xfrm>
          <a:off x="152400" y="714375"/>
          <a:ext cx="2466974" cy="695325"/>
          <a:chOff x="152400" y="714375"/>
          <a:chExt cx="2466974" cy="695325"/>
        </a:xfrm>
      </xdr:grpSpPr>
      <xdr:sp macro="" textlink="">
        <xdr:nvSpPr>
          <xdr:cNvPr id="28" name="Rectangle: Rounded Corners 27">
            <a:extLst>
              <a:ext uri="{FF2B5EF4-FFF2-40B4-BE49-F238E27FC236}">
                <a16:creationId xmlns:a16="http://schemas.microsoft.com/office/drawing/2014/main" id="{3C43F704-CB9D-4583-BED2-DD5F042190D2}"/>
              </a:ext>
            </a:extLst>
          </xdr:cNvPr>
          <xdr:cNvSpPr/>
        </xdr:nvSpPr>
        <xdr:spPr>
          <a:xfrm>
            <a:off x="152400" y="71437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29" name="Group 28">
            <a:hlinkClick xmlns:r="http://schemas.openxmlformats.org/officeDocument/2006/relationships" r:id="rId13"/>
            <a:extLst>
              <a:ext uri="{FF2B5EF4-FFF2-40B4-BE49-F238E27FC236}">
                <a16:creationId xmlns:a16="http://schemas.microsoft.com/office/drawing/2014/main" id="{1E50F816-067D-4810-AE0A-0C34A606A4EB}"/>
              </a:ext>
            </a:extLst>
          </xdr:cNvPr>
          <xdr:cNvGrpSpPr/>
        </xdr:nvGrpSpPr>
        <xdr:grpSpPr>
          <a:xfrm>
            <a:off x="342900" y="714375"/>
            <a:ext cx="2276474" cy="657225"/>
            <a:chOff x="190500" y="1273154"/>
            <a:chExt cx="2247899" cy="657225"/>
          </a:xfrm>
        </xdr:grpSpPr>
        <xdr:sp macro="" textlink="">
          <xdr:nvSpPr>
            <xdr:cNvPr id="30" name="Rectangle 29">
              <a:hlinkClick xmlns:r="http://schemas.openxmlformats.org/officeDocument/2006/relationships" r:id="rId13"/>
              <a:extLst>
                <a:ext uri="{FF2B5EF4-FFF2-40B4-BE49-F238E27FC236}">
                  <a16:creationId xmlns:a16="http://schemas.microsoft.com/office/drawing/2014/main" id="{BF092AC5-8483-FBF4-1CA1-E9EF2A729AA0}"/>
                </a:ext>
              </a:extLst>
            </xdr:cNvPr>
            <xdr:cNvSpPr/>
          </xdr:nvSpPr>
          <xdr:spPr>
            <a:xfrm>
              <a:off x="200145" y="1273154"/>
              <a:ext cx="2238254"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Home</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pic>
          <xdr:nvPicPr>
            <xdr:cNvPr id="32" name="Graphic 31" descr="Home with solid fill">
              <a:extLst>
                <a:ext uri="{FF2B5EF4-FFF2-40B4-BE49-F238E27FC236}">
                  <a16:creationId xmlns:a16="http://schemas.microsoft.com/office/drawing/2014/main" id="{989D42C3-1740-79D8-FD5B-11B9E308316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0500" y="1333500"/>
              <a:ext cx="466455" cy="466725"/>
            </a:xfrm>
            <a:prstGeom prst="rect">
              <a:avLst/>
            </a:prstGeom>
          </xdr:spPr>
        </xdr:pic>
      </xdr:grpSp>
    </xdr:grpSp>
    <xdr:clientData/>
  </xdr:twoCellAnchor>
  <xdr:twoCellAnchor>
    <xdr:from>
      <xdr:col>15</xdr:col>
      <xdr:colOff>142875</xdr:colOff>
      <xdr:row>10</xdr:row>
      <xdr:rowOff>204788</xdr:rowOff>
    </xdr:from>
    <xdr:to>
      <xdr:col>26</xdr:col>
      <xdr:colOff>219075</xdr:colOff>
      <xdr:row>17</xdr:row>
      <xdr:rowOff>152401</xdr:rowOff>
    </xdr:to>
    <xdr:graphicFrame macro="">
      <xdr:nvGraphicFramePr>
        <xdr:cNvPr id="59" name="Chart 58">
          <a:extLst>
            <a:ext uri="{FF2B5EF4-FFF2-40B4-BE49-F238E27FC236}">
              <a16:creationId xmlns:a16="http://schemas.microsoft.com/office/drawing/2014/main" id="{6B82C84D-F56F-0349-5543-46D3BA22E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26</xdr:col>
      <xdr:colOff>333375</xdr:colOff>
      <xdr:row>7</xdr:row>
      <xdr:rowOff>66675</xdr:rowOff>
    </xdr:from>
    <xdr:to>
      <xdr:col>28</xdr:col>
      <xdr:colOff>194175</xdr:colOff>
      <xdr:row>8</xdr:row>
      <xdr:rowOff>149225</xdr:rowOff>
    </xdr:to>
    <xdr:sp macro="" textlink="">
      <xdr:nvSpPr>
        <xdr:cNvPr id="4" name="Rectangle: Rounded Corners 3">
          <a:extLst>
            <a:ext uri="{FF2B5EF4-FFF2-40B4-BE49-F238E27FC236}">
              <a16:creationId xmlns:a16="http://schemas.microsoft.com/office/drawing/2014/main" id="{00B5E61D-4BCB-4B5D-8B70-1F4A14CA1B45}"/>
            </a:ext>
            <a:ext uri="{6ECC49D1-AA05-4338-93AA-15A1B29DFB0A}">
              <asl:scriptLink xmlns:asl="http://schemas.microsoft.com/office/drawing/2021/scriptlink" val="{&quot;shareId&quot;:&quot;ms-officescript%3A%2F%2Fonedrive_business_sharinglink%2Fu!aHR0cHM6Ly9xaW5jb25zdWx0aW5nY291ay1teS5zaGFyZXBvaW50LmNvbS86dTovZy9wZXJzb25hbC9uZWlsbWNkb25hbGRfcWluY29uc3VsdGluZ19jb191ay9FYzlOSWt5dTM2VkhtUWZEemRNNm5PUUJoWU52bUpaWFBscDh0empFVW9Hb2xR&quot;}"/>
            </a:ext>
          </a:extLst>
        </xdr:cNvPr>
        <xdr:cNvSpPr/>
      </xdr:nvSpPr>
      <xdr:spPr>
        <a:xfrm>
          <a:off x="19551463" y="2520763"/>
          <a:ext cx="1071036" cy="295462"/>
        </a:xfrm>
        <a:prstGeom prst="roundRect">
          <a:avLst/>
        </a:prstGeom>
        <a:solidFill>
          <a:srgbClr val="84A98C"/>
        </a:solidFill>
        <a:ln w="12700" cap="flat" cmpd="sng" algn="ctr">
          <a:solidFill>
            <a:schemeClr val="accent1">
              <a:shade val="15000"/>
            </a:schemeClr>
          </a:solidFill>
          <a:prstDash val="solid"/>
          <a:miter lim="800000"/>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100" b="1">
              <a:solidFill>
                <a:srgbClr val="354F52"/>
              </a:solidFill>
              <a:latin typeface="+mn-lt"/>
              <a:ea typeface="+mn-ea"/>
              <a:cs typeface="+mn-cs"/>
            </a:rPr>
            <a:t>Create</a:t>
          </a:r>
        </a:p>
      </xdr:txBody>
    </xdr:sp>
    <xdr:clientData/>
  </xdr:twoCellAnchor>
  <xdr:twoCellAnchor>
    <xdr:from>
      <xdr:col>12</xdr:col>
      <xdr:colOff>200025</xdr:colOff>
      <xdr:row>9</xdr:row>
      <xdr:rowOff>57150</xdr:rowOff>
    </xdr:from>
    <xdr:to>
      <xdr:col>14</xdr:col>
      <xdr:colOff>441825</xdr:colOff>
      <xdr:row>10</xdr:row>
      <xdr:rowOff>139700</xdr:rowOff>
    </xdr:to>
    <xdr:sp macro="" textlink="">
      <xdr:nvSpPr>
        <xdr:cNvPr id="6" name="Rectangle: Rounded Corners 5">
          <a:extLst>
            <a:ext uri="{FF2B5EF4-FFF2-40B4-BE49-F238E27FC236}">
              <a16:creationId xmlns:a16="http://schemas.microsoft.com/office/drawing/2014/main" id="{D7C76242-5EDD-4CC2-911B-6C759F78F507}"/>
            </a:ext>
            <a:ext uri="{6ECC49D1-AA05-4338-93AA-15A1B29DFB0A}">
              <asl:scriptLink xmlns:asl="http://schemas.microsoft.com/office/drawing/2021/scriptlink" val="{&quot;shareId&quot;:&quot;ms-officescript%3A%2F%2Fonedrive_business_sharinglink%2Fu!aHR0cHM6Ly9xaW5jb25zdWx0aW5nY291ay1teS5zaGFyZXBvaW50LmNvbS86dTovZy9wZXJzb25hbC9uZWlsbWNkb25hbGRfcWluY29uc3VsdGluZ19jb191ay9FZGZKU1JFeGFXSk5tYVpYZ1docjFmWUJsSTVRUTJyLTRkUVBuX2VuUW5OTjVn&quot;}"/>
            </a:ext>
          </a:extLst>
        </xdr:cNvPr>
        <xdr:cNvSpPr/>
      </xdr:nvSpPr>
      <xdr:spPr>
        <a:xfrm>
          <a:off x="9982200" y="3028950"/>
          <a:ext cx="1080000" cy="292100"/>
        </a:xfrm>
        <a:prstGeom prst="roundRect">
          <a:avLst/>
        </a:prstGeom>
        <a:solidFill>
          <a:srgbClr val="84A98C"/>
        </a:solidFill>
        <a:ln w="12700" cap="flat" cmpd="sng" algn="ctr">
          <a:solidFill>
            <a:srgbClr val="2F3E46"/>
          </a:solidFill>
          <a:prstDash val="solid"/>
          <a:miter lim="800000"/>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100" b="1">
              <a:solidFill>
                <a:srgbClr val="354F52"/>
              </a:solidFill>
              <a:latin typeface="+mn-lt"/>
              <a:ea typeface="+mn-ea"/>
              <a:cs typeface="+mn-cs"/>
            </a:rPr>
            <a:t>Delete</a:t>
          </a:r>
        </a:p>
      </xdr:txBody>
    </xdr:sp>
    <xdr:clientData/>
  </xdr:twoCellAnchor>
  <xdr:twoCellAnchor>
    <xdr:from>
      <xdr:col>12</xdr:col>
      <xdr:colOff>200025</xdr:colOff>
      <xdr:row>3</xdr:row>
      <xdr:rowOff>142875</xdr:rowOff>
    </xdr:from>
    <xdr:to>
      <xdr:col>14</xdr:col>
      <xdr:colOff>441825</xdr:colOff>
      <xdr:row>4</xdr:row>
      <xdr:rowOff>225425</xdr:rowOff>
    </xdr:to>
    <xdr:sp macro="" textlink="">
      <xdr:nvSpPr>
        <xdr:cNvPr id="5" name="Rectangle: Rounded Corners 4">
          <a:extLst>
            <a:ext uri="{FF2B5EF4-FFF2-40B4-BE49-F238E27FC236}">
              <a16:creationId xmlns:a16="http://schemas.microsoft.com/office/drawing/2014/main" id="{0BA6A606-DCA9-4369-B971-D8D1C268DE63}"/>
            </a:ext>
            <a:ext uri="{6ECC49D1-AA05-4338-93AA-15A1B29DFB0A}">
              <asl:scriptLink xmlns:asl="http://schemas.microsoft.com/office/drawing/2021/scriptlink" val="{&quot;shareId&quot;:&quot;ms-officescript%3A%2F%2Fonedrive_business_sharinglink%2Fu!aHR0cHM6Ly9xaW5jb25zdWx0aW5nY291ay1teS5zaGFyZXBvaW50LmNvbS86dTovZy9wZXJzb25hbC9uZWlsbWNkb25hbGRfcWluY29uc3VsdGluZ19jb191ay9JUUI2UXhVV05sRnRRWi02eWdBaWk1d1BBVXNTVE1RRkJzLVlzbUtVRjE1V2F0TQ&quot;}"/>
            </a:ext>
          </a:extLst>
        </xdr:cNvPr>
        <xdr:cNvSpPr/>
      </xdr:nvSpPr>
      <xdr:spPr>
        <a:xfrm>
          <a:off x="9982200" y="1514475"/>
          <a:ext cx="1080000" cy="292100"/>
        </a:xfrm>
        <a:prstGeom prst="roundRect">
          <a:avLst/>
        </a:prstGeom>
        <a:solidFill>
          <a:srgbClr val="84A98C"/>
        </a:solidFill>
        <a:ln w="12700" cap="flat" cmpd="sng" algn="ctr">
          <a:solidFill>
            <a:srgbClr val="2F3E46"/>
          </a:solidFill>
          <a:prstDash val="solid"/>
          <a:miter lim="800000"/>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100" b="1">
              <a:solidFill>
                <a:srgbClr val="354F52"/>
              </a:solidFill>
              <a:latin typeface="+mn-lt"/>
              <a:ea typeface="+mn-ea"/>
              <a:cs typeface="+mn-cs"/>
            </a:rPr>
            <a:t>Find</a:t>
          </a:r>
        </a:p>
      </xdr:txBody>
    </xdr:sp>
    <xdr:clientData/>
  </xdr:twoCellAnchor>
  <xdr:twoCellAnchor>
    <xdr:from>
      <xdr:col>0</xdr:col>
      <xdr:colOff>142875</xdr:colOff>
      <xdr:row>10</xdr:row>
      <xdr:rowOff>47625</xdr:rowOff>
    </xdr:from>
    <xdr:to>
      <xdr:col>4</xdr:col>
      <xdr:colOff>171449</xdr:colOff>
      <xdr:row>13</xdr:row>
      <xdr:rowOff>0</xdr:rowOff>
    </xdr:to>
    <xdr:grpSp>
      <xdr:nvGrpSpPr>
        <xdr:cNvPr id="39" name="Group 38">
          <a:hlinkClick xmlns:r="http://schemas.openxmlformats.org/officeDocument/2006/relationships" r:id="rId17"/>
          <a:extLst>
            <a:ext uri="{FF2B5EF4-FFF2-40B4-BE49-F238E27FC236}">
              <a16:creationId xmlns:a16="http://schemas.microsoft.com/office/drawing/2014/main" id="{58A2AE08-7150-D31E-924D-2186F4C9D9C5}"/>
            </a:ext>
          </a:extLst>
        </xdr:cNvPr>
        <xdr:cNvGrpSpPr/>
      </xdr:nvGrpSpPr>
      <xdr:grpSpPr>
        <a:xfrm>
          <a:off x="142875" y="3228975"/>
          <a:ext cx="2466974" cy="695325"/>
          <a:chOff x="238125" y="3228975"/>
          <a:chExt cx="2466974" cy="695325"/>
        </a:xfrm>
      </xdr:grpSpPr>
      <xdr:sp macro="" textlink="">
        <xdr:nvSpPr>
          <xdr:cNvPr id="23" name="Rectangle: Rounded Corners 22">
            <a:extLst>
              <a:ext uri="{FF2B5EF4-FFF2-40B4-BE49-F238E27FC236}">
                <a16:creationId xmlns:a16="http://schemas.microsoft.com/office/drawing/2014/main" id="{64ABFDC9-E0C5-F2BE-D0DB-61335670BDB2}"/>
              </a:ext>
            </a:extLst>
          </xdr:cNvPr>
          <xdr:cNvSpPr/>
        </xdr:nvSpPr>
        <xdr:spPr>
          <a:xfrm>
            <a:off x="238125" y="322897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26" name="Rectangle 25">
            <a:hlinkClick xmlns:r="http://schemas.openxmlformats.org/officeDocument/2006/relationships" r:id="rId17"/>
            <a:extLst>
              <a:ext uri="{FF2B5EF4-FFF2-40B4-BE49-F238E27FC236}">
                <a16:creationId xmlns:a16="http://schemas.microsoft.com/office/drawing/2014/main" id="{5701D67A-BDC9-8A72-9BF1-7E5C77C08B07}"/>
              </a:ext>
            </a:extLst>
          </xdr:cNvPr>
          <xdr:cNvSpPr/>
        </xdr:nvSpPr>
        <xdr:spPr>
          <a:xfrm>
            <a:off x="438393" y="3228975"/>
            <a:ext cx="226670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Reports</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pic>
        <xdr:nvPicPr>
          <xdr:cNvPr id="36" name="Graphic 35" descr="Bar graph with upward trend with solid fill">
            <a:extLst>
              <a:ext uri="{FF2B5EF4-FFF2-40B4-BE49-F238E27FC236}">
                <a16:creationId xmlns:a16="http://schemas.microsoft.com/office/drawing/2014/main" id="{C56BC229-5D3E-22AC-FAF8-0E2FE467206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90525" y="3324225"/>
            <a:ext cx="471600" cy="471600"/>
          </a:xfrm>
          <a:prstGeom prst="rect">
            <a:avLst/>
          </a:prstGeom>
        </xdr:spPr>
      </xdr:pic>
    </xdr:grpSp>
    <xdr:clientData/>
  </xdr:twoCellAnchor>
  <xdr:twoCellAnchor>
    <xdr:from>
      <xdr:col>12</xdr:col>
      <xdr:colOff>191060</xdr:colOff>
      <xdr:row>5</xdr:row>
      <xdr:rowOff>183776</xdr:rowOff>
    </xdr:from>
    <xdr:to>
      <xdr:col>14</xdr:col>
      <xdr:colOff>434625</xdr:colOff>
      <xdr:row>6</xdr:row>
      <xdr:rowOff>262964</xdr:rowOff>
    </xdr:to>
    <xdr:sp macro="" textlink="">
      <xdr:nvSpPr>
        <xdr:cNvPr id="7" name="Rectangle: Rounded Corners 6">
          <a:extLst>
            <a:ext uri="{FF2B5EF4-FFF2-40B4-BE49-F238E27FC236}">
              <a16:creationId xmlns:a16="http://schemas.microsoft.com/office/drawing/2014/main" id="{A4F2DE29-608B-4200-AC01-84EE6F7AB057}"/>
            </a:ext>
            <a:ext uri="{6ECC49D1-AA05-4338-93AA-15A1B29DFB0A}">
              <asl:scriptLink xmlns:asl="http://schemas.microsoft.com/office/drawing/2021/scriptlink" val="{&quot;shareId&quot;:&quot;ms-officescript%3A%2F%2Fonedrive_business_sharinglink%2Fu!aHR0cHM6Ly9xaW5jb25zdWx0aW5nY291ay1teS5zaGFyZXBvaW50LmNvbS86dTovZy9wZXJzb25hbC9uZWlsbWNkb25hbGRfcWluY29uc3VsdGluZ19jb191ay9JUUEtWHNFZV9qamNUTHpGaFh0U3J3aDVBVk4xUEFMY2RXa2hBTTE2QkZHMFlVZw&quot;}"/>
            </a:ext>
          </a:extLst>
        </xdr:cNvPr>
        <xdr:cNvSpPr/>
      </xdr:nvSpPr>
      <xdr:spPr>
        <a:xfrm>
          <a:off x="9951384" y="2111188"/>
          <a:ext cx="1072800" cy="292100"/>
        </a:xfrm>
        <a:prstGeom prst="roundRect">
          <a:avLst/>
        </a:prstGeom>
        <a:solidFill>
          <a:srgbClr val="84A98C"/>
        </a:solidFill>
        <a:ln w="12700" cap="flat" cmpd="sng" algn="ctr">
          <a:solidFill>
            <a:srgbClr val="2F3E46"/>
          </a:solidFill>
          <a:prstDash val="solid"/>
          <a:miter lim="800000"/>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100" b="1">
              <a:solidFill>
                <a:srgbClr val="354F52"/>
              </a:solidFill>
              <a:latin typeface="+mn-lt"/>
              <a:ea typeface="+mn-ea"/>
              <a:cs typeface="+mn-cs"/>
            </a:rPr>
            <a:t>Add / Update</a:t>
          </a:r>
        </a:p>
      </xdr:txBody>
    </xdr:sp>
    <xdr:clientData/>
  </xdr:twoCellAnchor>
  <xdr:twoCellAnchor>
    <xdr:from>
      <xdr:col>12</xdr:col>
      <xdr:colOff>203386</xdr:colOff>
      <xdr:row>13</xdr:row>
      <xdr:rowOff>96931</xdr:rowOff>
    </xdr:from>
    <xdr:to>
      <xdr:col>14</xdr:col>
      <xdr:colOff>446951</xdr:colOff>
      <xdr:row>14</xdr:row>
      <xdr:rowOff>176120</xdr:rowOff>
    </xdr:to>
    <xdr:sp macro="" textlink="">
      <xdr:nvSpPr>
        <xdr:cNvPr id="8" name="Rectangle: Rounded Corners 7">
          <a:extLst>
            <a:ext uri="{FF2B5EF4-FFF2-40B4-BE49-F238E27FC236}">
              <a16:creationId xmlns:a16="http://schemas.microsoft.com/office/drawing/2014/main" id="{CBC0E097-E42B-445E-B3E7-BD1E3281F7F7}"/>
            </a:ext>
            <a:ext uri="{6ECC49D1-AA05-4338-93AA-15A1B29DFB0A}">
              <asl:scriptLink xmlns:asl="http://schemas.microsoft.com/office/drawing/2021/scriptlink" val="{&quot;shareId&quot;:&quot;ms-officescript%3A%2F%2Fonedrive_business_sharinglink%2Fu!aHR0cHM6Ly9xaW5jb25zdWx0aW5nY291ay1teS5zaGFyZXBvaW50LmNvbS86dTovZy9wZXJzb25hbC9uZWlsbWNkb25hbGRfcWluY29uc3VsdGluZ19jb191ay9JUUJhZ2Vsd0M3Ql9SWU9oV2pGNDhROWJBVFFOWERIQzNjQ2FndE5TbTVFQ0JIcw&quot;}"/>
            </a:ext>
          </a:extLst>
        </xdr:cNvPr>
        <xdr:cNvSpPr/>
      </xdr:nvSpPr>
      <xdr:spPr>
        <a:xfrm>
          <a:off x="9963710" y="4041402"/>
          <a:ext cx="1072800" cy="292100"/>
        </a:xfrm>
        <a:prstGeom prst="roundRect">
          <a:avLst/>
        </a:prstGeom>
        <a:solidFill>
          <a:srgbClr val="84A98C"/>
        </a:solidFill>
        <a:ln w="12700" cap="flat" cmpd="sng" algn="ctr">
          <a:solidFill>
            <a:srgbClr val="2F3E46"/>
          </a:solidFill>
          <a:prstDash val="solid"/>
          <a:miter lim="800000"/>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100" b="1">
              <a:solidFill>
                <a:srgbClr val="354F52"/>
              </a:solidFill>
              <a:latin typeface="+mn-lt"/>
              <a:ea typeface="+mn-ea"/>
              <a:cs typeface="+mn-cs"/>
            </a:rPr>
            <a:t>Clear Form</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139210</xdr:colOff>
      <xdr:row>1</xdr:row>
      <xdr:rowOff>3132</xdr:rowOff>
    </xdr:from>
    <xdr:to>
      <xdr:col>3</xdr:col>
      <xdr:colOff>457199</xdr:colOff>
      <xdr:row>41</xdr:row>
      <xdr:rowOff>200024</xdr:rowOff>
    </xdr:to>
    <xdr:sp macro="" textlink="">
      <xdr:nvSpPr>
        <xdr:cNvPr id="11" name="Rectangle 10">
          <a:extLst>
            <a:ext uri="{FF2B5EF4-FFF2-40B4-BE49-F238E27FC236}">
              <a16:creationId xmlns:a16="http://schemas.microsoft.com/office/drawing/2014/main" id="{9C2ACA46-7B56-4616-8B1B-2F7D19130488}"/>
            </a:ext>
          </a:extLst>
        </xdr:cNvPr>
        <xdr:cNvSpPr/>
      </xdr:nvSpPr>
      <xdr:spPr>
        <a:xfrm>
          <a:off x="1968010" y="622257"/>
          <a:ext cx="317989" cy="9426617"/>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1</xdr:row>
      <xdr:rowOff>3133</xdr:rowOff>
    </xdr:from>
    <xdr:to>
      <xdr:col>3</xdr:col>
      <xdr:colOff>152400</xdr:colOff>
      <xdr:row>41</xdr:row>
      <xdr:rowOff>190500</xdr:rowOff>
    </xdr:to>
    <xdr:sp macro="" textlink="">
      <xdr:nvSpPr>
        <xdr:cNvPr id="2" name="Rectangle 1">
          <a:extLst>
            <a:ext uri="{FF2B5EF4-FFF2-40B4-BE49-F238E27FC236}">
              <a16:creationId xmlns:a16="http://schemas.microsoft.com/office/drawing/2014/main" id="{45A78BA1-FFEB-45A3-B78F-CD89608B9C74}"/>
            </a:ext>
          </a:extLst>
        </xdr:cNvPr>
        <xdr:cNvSpPr/>
      </xdr:nvSpPr>
      <xdr:spPr>
        <a:xfrm>
          <a:off x="0" y="622258"/>
          <a:ext cx="1981200" cy="941709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571500</xdr:rowOff>
    </xdr:from>
    <xdr:to>
      <xdr:col>3</xdr:col>
      <xdr:colOff>152400</xdr:colOff>
      <xdr:row>44</xdr:row>
      <xdr:rowOff>177842</xdr:rowOff>
    </xdr:to>
    <xdr:sp macro="" textlink="">
      <xdr:nvSpPr>
        <xdr:cNvPr id="7" name="Rectangle 6">
          <a:extLst>
            <a:ext uri="{FF2B5EF4-FFF2-40B4-BE49-F238E27FC236}">
              <a16:creationId xmlns:a16="http://schemas.microsoft.com/office/drawing/2014/main" id="{7179560E-EC44-4A92-AD0F-240A9F4B0110}"/>
            </a:ext>
          </a:extLst>
        </xdr:cNvPr>
        <xdr:cNvSpPr/>
      </xdr:nvSpPr>
      <xdr:spPr>
        <a:xfrm>
          <a:off x="0" y="571500"/>
          <a:ext cx="1981200" cy="1008384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139210</xdr:colOff>
      <xdr:row>1</xdr:row>
      <xdr:rowOff>9526</xdr:rowOff>
    </xdr:from>
    <xdr:to>
      <xdr:col>3</xdr:col>
      <xdr:colOff>457199</xdr:colOff>
      <xdr:row>44</xdr:row>
      <xdr:rowOff>206418</xdr:rowOff>
    </xdr:to>
    <xdr:sp macro="" textlink="">
      <xdr:nvSpPr>
        <xdr:cNvPr id="10" name="Rectangle 9">
          <a:extLst>
            <a:ext uri="{FF2B5EF4-FFF2-40B4-BE49-F238E27FC236}">
              <a16:creationId xmlns:a16="http://schemas.microsoft.com/office/drawing/2014/main" id="{CE2089F0-AA23-48E8-A35C-38D76BD0A3A1}"/>
            </a:ext>
          </a:extLst>
        </xdr:cNvPr>
        <xdr:cNvSpPr/>
      </xdr:nvSpPr>
      <xdr:spPr>
        <a:xfrm>
          <a:off x="1968010" y="628651"/>
          <a:ext cx="317989" cy="10055267"/>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590550</xdr:rowOff>
    </xdr:from>
    <xdr:to>
      <xdr:col>3</xdr:col>
      <xdr:colOff>152400</xdr:colOff>
      <xdr:row>37</xdr:row>
      <xdr:rowOff>0</xdr:rowOff>
    </xdr:to>
    <xdr:sp macro="" textlink="">
      <xdr:nvSpPr>
        <xdr:cNvPr id="3" name="Rectangle 2">
          <a:extLst>
            <a:ext uri="{FF2B5EF4-FFF2-40B4-BE49-F238E27FC236}">
              <a16:creationId xmlns:a16="http://schemas.microsoft.com/office/drawing/2014/main" id="{FAD50E2C-8B4B-4253-A020-22E1B950766C}"/>
            </a:ext>
          </a:extLst>
        </xdr:cNvPr>
        <xdr:cNvSpPr/>
      </xdr:nvSpPr>
      <xdr:spPr>
        <a:xfrm>
          <a:off x="0" y="590550"/>
          <a:ext cx="1981200" cy="1008384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139210</xdr:colOff>
      <xdr:row>1</xdr:row>
      <xdr:rowOff>1</xdr:rowOff>
    </xdr:from>
    <xdr:to>
      <xdr:col>3</xdr:col>
      <xdr:colOff>457199</xdr:colOff>
      <xdr:row>37</xdr:row>
      <xdr:rowOff>0</xdr:rowOff>
    </xdr:to>
    <xdr:sp macro="" textlink="">
      <xdr:nvSpPr>
        <xdr:cNvPr id="4" name="Rectangle 3">
          <a:extLst>
            <a:ext uri="{FF2B5EF4-FFF2-40B4-BE49-F238E27FC236}">
              <a16:creationId xmlns:a16="http://schemas.microsoft.com/office/drawing/2014/main" id="{521E91BF-AA52-4F6A-BBD2-67F9EA745180}"/>
            </a:ext>
          </a:extLst>
        </xdr:cNvPr>
        <xdr:cNvSpPr/>
      </xdr:nvSpPr>
      <xdr:spPr>
        <a:xfrm>
          <a:off x="1968010" y="619126"/>
          <a:ext cx="317989" cy="10055267"/>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600075</xdr:rowOff>
    </xdr:from>
    <xdr:to>
      <xdr:col>3</xdr:col>
      <xdr:colOff>152400</xdr:colOff>
      <xdr:row>35</xdr:row>
      <xdr:rowOff>34967</xdr:rowOff>
    </xdr:to>
    <xdr:sp macro="" textlink="">
      <xdr:nvSpPr>
        <xdr:cNvPr id="8" name="Rectangle 7">
          <a:extLst>
            <a:ext uri="{FF2B5EF4-FFF2-40B4-BE49-F238E27FC236}">
              <a16:creationId xmlns:a16="http://schemas.microsoft.com/office/drawing/2014/main" id="{1BF17D4C-A425-4839-8DF8-EB396A8792BE}"/>
            </a:ext>
          </a:extLst>
        </xdr:cNvPr>
        <xdr:cNvSpPr/>
      </xdr:nvSpPr>
      <xdr:spPr>
        <a:xfrm>
          <a:off x="0" y="600075"/>
          <a:ext cx="1981200" cy="947424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139210</xdr:colOff>
      <xdr:row>1</xdr:row>
      <xdr:rowOff>9526</xdr:rowOff>
    </xdr:from>
    <xdr:to>
      <xdr:col>3</xdr:col>
      <xdr:colOff>457199</xdr:colOff>
      <xdr:row>35</xdr:row>
      <xdr:rowOff>34968</xdr:rowOff>
    </xdr:to>
    <xdr:sp macro="" textlink="">
      <xdr:nvSpPr>
        <xdr:cNvPr id="9" name="Rectangle 8">
          <a:extLst>
            <a:ext uri="{FF2B5EF4-FFF2-40B4-BE49-F238E27FC236}">
              <a16:creationId xmlns:a16="http://schemas.microsoft.com/office/drawing/2014/main" id="{F044FC67-8274-4FC9-80B1-B75E5B516681}"/>
            </a:ext>
          </a:extLst>
        </xdr:cNvPr>
        <xdr:cNvSpPr/>
      </xdr:nvSpPr>
      <xdr:spPr>
        <a:xfrm>
          <a:off x="1968010" y="628651"/>
          <a:ext cx="317989" cy="9445667"/>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4</xdr:row>
      <xdr:rowOff>180975</xdr:rowOff>
    </xdr:from>
    <xdr:to>
      <xdr:col>4</xdr:col>
      <xdr:colOff>126226</xdr:colOff>
      <xdr:row>6</xdr:row>
      <xdr:rowOff>133350</xdr:rowOff>
    </xdr:to>
    <xdr:grpSp>
      <xdr:nvGrpSpPr>
        <xdr:cNvPr id="12" name="Group 11">
          <a:hlinkClick xmlns:r="http://schemas.openxmlformats.org/officeDocument/2006/relationships" r:id="rId1"/>
          <a:extLst>
            <a:ext uri="{FF2B5EF4-FFF2-40B4-BE49-F238E27FC236}">
              <a16:creationId xmlns:a16="http://schemas.microsoft.com/office/drawing/2014/main" id="{F8A90A38-21F6-4401-A07C-F430807269FA}"/>
            </a:ext>
          </a:extLst>
        </xdr:cNvPr>
        <xdr:cNvGrpSpPr/>
      </xdr:nvGrpSpPr>
      <xdr:grpSpPr>
        <a:xfrm>
          <a:off x="142875" y="1524000"/>
          <a:ext cx="2421751" cy="695325"/>
          <a:chOff x="142875" y="1524000"/>
          <a:chExt cx="2421751" cy="695325"/>
        </a:xfrm>
      </xdr:grpSpPr>
      <xdr:sp macro="" textlink="">
        <xdr:nvSpPr>
          <xdr:cNvPr id="39" name="Rectangle: Rounded Corners 38">
            <a:extLst>
              <a:ext uri="{FF2B5EF4-FFF2-40B4-BE49-F238E27FC236}">
                <a16:creationId xmlns:a16="http://schemas.microsoft.com/office/drawing/2014/main" id="{32F8B365-7B11-41BF-A2E1-5F72FA36E3EE}"/>
              </a:ext>
            </a:extLst>
          </xdr:cNvPr>
          <xdr:cNvSpPr/>
        </xdr:nvSpPr>
        <xdr:spPr>
          <a:xfrm>
            <a:off x="142875" y="1524000"/>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31" name="Rectangle 30">
            <a:extLst>
              <a:ext uri="{FF2B5EF4-FFF2-40B4-BE49-F238E27FC236}">
                <a16:creationId xmlns:a16="http://schemas.microsoft.com/office/drawing/2014/main" id="{EFF927A6-40EF-5D18-E8DA-BA72A913C048}"/>
              </a:ext>
            </a:extLst>
          </xdr:cNvPr>
          <xdr:cNvSpPr/>
        </xdr:nvSpPr>
        <xdr:spPr>
          <a:xfrm>
            <a:off x="325954" y="1606529"/>
            <a:ext cx="2238672"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Product</a:t>
            </a:r>
          </a:p>
        </xdr:txBody>
      </xdr:sp>
    </xdr:grpSp>
    <xdr:clientData/>
  </xdr:twoCellAnchor>
  <xdr:twoCellAnchor>
    <xdr:from>
      <xdr:col>0</xdr:col>
      <xdr:colOff>533400</xdr:colOff>
      <xdr:row>7</xdr:row>
      <xdr:rowOff>76200</xdr:rowOff>
    </xdr:from>
    <xdr:to>
      <xdr:col>4</xdr:col>
      <xdr:colOff>171450</xdr:colOff>
      <xdr:row>10</xdr:row>
      <xdr:rowOff>38100</xdr:rowOff>
    </xdr:to>
    <xdr:sp macro="" textlink="">
      <xdr:nvSpPr>
        <xdr:cNvPr id="36" name="Rectangle: Rounded Corners 35">
          <a:extLst>
            <a:ext uri="{FF2B5EF4-FFF2-40B4-BE49-F238E27FC236}">
              <a16:creationId xmlns:a16="http://schemas.microsoft.com/office/drawing/2014/main" id="{F6C24E13-D14B-4492-9962-5EE810009D52}"/>
            </a:ext>
          </a:extLst>
        </xdr:cNvPr>
        <xdr:cNvSpPr/>
      </xdr:nvSpPr>
      <xdr:spPr>
        <a:xfrm>
          <a:off x="533400" y="2362200"/>
          <a:ext cx="2076450"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28575</xdr:colOff>
      <xdr:row>7</xdr:row>
      <xdr:rowOff>107908</xdr:rowOff>
    </xdr:from>
    <xdr:to>
      <xdr:col>4</xdr:col>
      <xdr:colOff>438621</xdr:colOff>
      <xdr:row>10</xdr:row>
      <xdr:rowOff>31708</xdr:rowOff>
    </xdr:to>
    <xdr:grpSp>
      <xdr:nvGrpSpPr>
        <xdr:cNvPr id="37" name="Group 36">
          <a:extLst>
            <a:ext uri="{FF2B5EF4-FFF2-40B4-BE49-F238E27FC236}">
              <a16:creationId xmlns:a16="http://schemas.microsoft.com/office/drawing/2014/main" id="{93330417-8A9A-5EEC-D2BB-C64C4A7B8662}"/>
            </a:ext>
          </a:extLst>
        </xdr:cNvPr>
        <xdr:cNvGrpSpPr/>
      </xdr:nvGrpSpPr>
      <xdr:grpSpPr>
        <a:xfrm>
          <a:off x="638175" y="2403433"/>
          <a:ext cx="2238846" cy="657225"/>
          <a:chOff x="314325" y="2393908"/>
          <a:chExt cx="2238846" cy="657225"/>
        </a:xfrm>
      </xdr:grpSpPr>
      <xdr:sp macro="" textlink="">
        <xdr:nvSpPr>
          <xdr:cNvPr id="34" name="Rectangle 33">
            <a:hlinkClick xmlns:r="http://schemas.openxmlformats.org/officeDocument/2006/relationships" r:id="rId2"/>
            <a:extLst>
              <a:ext uri="{FF2B5EF4-FFF2-40B4-BE49-F238E27FC236}">
                <a16:creationId xmlns:a16="http://schemas.microsoft.com/office/drawing/2014/main" id="{BAC46174-590D-7884-B887-345DED7F1D44}"/>
              </a:ext>
            </a:extLst>
          </xdr:cNvPr>
          <xdr:cNvSpPr/>
        </xdr:nvSpPr>
        <xdr:spPr>
          <a:xfrm>
            <a:off x="314325" y="2393908"/>
            <a:ext cx="223884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rgbClr val="354F52"/>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rgbClr val="354F52"/>
                </a:solidFill>
                <a:latin typeface="+mn-lt"/>
                <a:ea typeface="ADLaM Display" panose="02010000000000000000" pitchFamily="2" charset="0"/>
                <a:cs typeface="ADLaM Display" panose="02010000000000000000" pitchFamily="2" charset="0"/>
              </a:rPr>
              <a:t>DataBase</a:t>
            </a:r>
          </a:p>
        </xdr:txBody>
      </xdr:sp>
      <xdr:pic>
        <xdr:nvPicPr>
          <xdr:cNvPr id="35" name="Graphic 34" descr="Database with solid fill">
            <a:extLst>
              <a:ext uri="{FF2B5EF4-FFF2-40B4-BE49-F238E27FC236}">
                <a16:creationId xmlns:a16="http://schemas.microsoft.com/office/drawing/2014/main" id="{0682D8B8-EAB2-2838-A61F-B520EDFA30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4796" y="2460583"/>
            <a:ext cx="456444" cy="468000"/>
          </a:xfrm>
          <a:prstGeom prst="rect">
            <a:avLst/>
          </a:prstGeom>
        </xdr:spPr>
      </xdr:pic>
    </xdr:grpSp>
    <xdr:clientData/>
  </xdr:twoCellAnchor>
  <xdr:twoCellAnchor>
    <xdr:from>
      <xdr:col>0</xdr:col>
      <xdr:colOff>314325</xdr:colOff>
      <xdr:row>5</xdr:row>
      <xdr:rowOff>104775</xdr:rowOff>
    </xdr:from>
    <xdr:to>
      <xdr:col>1</xdr:col>
      <xdr:colOff>172725</xdr:colOff>
      <xdr:row>6</xdr:row>
      <xdr:rowOff>29850</xdr:rowOff>
    </xdr:to>
    <xdr:pic>
      <xdr:nvPicPr>
        <xdr:cNvPr id="5" name="Graphic 4" descr="Search Inventory with solid fill">
          <a:extLst>
            <a:ext uri="{FF2B5EF4-FFF2-40B4-BE49-F238E27FC236}">
              <a16:creationId xmlns:a16="http://schemas.microsoft.com/office/drawing/2014/main" id="{F777202D-06F3-4EDC-B873-21297DB506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4325" y="1638300"/>
          <a:ext cx="468000" cy="468000"/>
        </a:xfrm>
        <a:prstGeom prst="rect">
          <a:avLst/>
        </a:prstGeom>
      </xdr:spPr>
    </xdr:pic>
    <xdr:clientData/>
  </xdr:twoCellAnchor>
  <xdr:twoCellAnchor>
    <xdr:from>
      <xdr:col>0</xdr:col>
      <xdr:colOff>142875</xdr:colOff>
      <xdr:row>10</xdr:row>
      <xdr:rowOff>161925</xdr:rowOff>
    </xdr:from>
    <xdr:to>
      <xdr:col>4</xdr:col>
      <xdr:colOff>171449</xdr:colOff>
      <xdr:row>13</xdr:row>
      <xdr:rowOff>123825</xdr:rowOff>
    </xdr:to>
    <xdr:grpSp>
      <xdr:nvGrpSpPr>
        <xdr:cNvPr id="14" name="Group 13">
          <a:hlinkClick xmlns:r="http://schemas.openxmlformats.org/officeDocument/2006/relationships" r:id="rId7"/>
          <a:extLst>
            <a:ext uri="{FF2B5EF4-FFF2-40B4-BE49-F238E27FC236}">
              <a16:creationId xmlns:a16="http://schemas.microsoft.com/office/drawing/2014/main" id="{055229B4-8839-4FA3-A80D-C5A9E519B339}"/>
            </a:ext>
          </a:extLst>
        </xdr:cNvPr>
        <xdr:cNvGrpSpPr/>
      </xdr:nvGrpSpPr>
      <xdr:grpSpPr>
        <a:xfrm>
          <a:off x="142875" y="3190875"/>
          <a:ext cx="2466974" cy="695325"/>
          <a:chOff x="238125" y="3228975"/>
          <a:chExt cx="2466974" cy="695325"/>
        </a:xfrm>
      </xdr:grpSpPr>
      <xdr:sp macro="" textlink="">
        <xdr:nvSpPr>
          <xdr:cNvPr id="15" name="Rectangle: Rounded Corners 14">
            <a:extLst>
              <a:ext uri="{FF2B5EF4-FFF2-40B4-BE49-F238E27FC236}">
                <a16:creationId xmlns:a16="http://schemas.microsoft.com/office/drawing/2014/main" id="{F327EACA-5243-36D6-4E3E-0EF1A11A4109}"/>
              </a:ext>
            </a:extLst>
          </xdr:cNvPr>
          <xdr:cNvSpPr/>
        </xdr:nvSpPr>
        <xdr:spPr>
          <a:xfrm>
            <a:off x="238125" y="322897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6" name="Rectangle 15">
            <a:hlinkClick xmlns:r="http://schemas.openxmlformats.org/officeDocument/2006/relationships" r:id="rId7"/>
            <a:extLst>
              <a:ext uri="{FF2B5EF4-FFF2-40B4-BE49-F238E27FC236}">
                <a16:creationId xmlns:a16="http://schemas.microsoft.com/office/drawing/2014/main" id="{1E0A88D7-B1C4-07D9-5855-C2E4E9E64D1D}"/>
              </a:ext>
            </a:extLst>
          </xdr:cNvPr>
          <xdr:cNvSpPr/>
        </xdr:nvSpPr>
        <xdr:spPr>
          <a:xfrm>
            <a:off x="438393" y="3228975"/>
            <a:ext cx="226670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Reports</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pic>
        <xdr:nvPicPr>
          <xdr:cNvPr id="17" name="Graphic 16" descr="Bar graph with upward trend with solid fill">
            <a:extLst>
              <a:ext uri="{FF2B5EF4-FFF2-40B4-BE49-F238E27FC236}">
                <a16:creationId xmlns:a16="http://schemas.microsoft.com/office/drawing/2014/main" id="{C697F793-F794-83EA-86DD-C256D478DEF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0525" y="3324225"/>
            <a:ext cx="471600" cy="471600"/>
          </a:xfrm>
          <a:prstGeom prst="rect">
            <a:avLst/>
          </a:prstGeom>
        </xdr:spPr>
      </xdr:pic>
    </xdr:grpSp>
    <xdr:clientData/>
  </xdr:twoCellAnchor>
  <xdr:twoCellAnchor>
    <xdr:from>
      <xdr:col>0</xdr:col>
      <xdr:colOff>123825</xdr:colOff>
      <xdr:row>1</xdr:row>
      <xdr:rowOff>76200</xdr:rowOff>
    </xdr:from>
    <xdr:to>
      <xdr:col>4</xdr:col>
      <xdr:colOff>152399</xdr:colOff>
      <xdr:row>4</xdr:row>
      <xdr:rowOff>57150</xdr:rowOff>
    </xdr:to>
    <xdr:grpSp>
      <xdr:nvGrpSpPr>
        <xdr:cNvPr id="13" name="Group 12">
          <a:extLst>
            <a:ext uri="{FF2B5EF4-FFF2-40B4-BE49-F238E27FC236}">
              <a16:creationId xmlns:a16="http://schemas.microsoft.com/office/drawing/2014/main" id="{3C1D1DA6-40B2-6890-B823-60245AFC5889}"/>
            </a:ext>
          </a:extLst>
        </xdr:cNvPr>
        <xdr:cNvGrpSpPr/>
      </xdr:nvGrpSpPr>
      <xdr:grpSpPr>
        <a:xfrm>
          <a:off x="123825" y="695325"/>
          <a:ext cx="2466974" cy="704850"/>
          <a:chOff x="123825" y="695325"/>
          <a:chExt cx="2466974" cy="704850"/>
        </a:xfrm>
      </xdr:grpSpPr>
      <xdr:sp macro="" textlink="">
        <xdr:nvSpPr>
          <xdr:cNvPr id="38" name="Rectangle: Rounded Corners 37">
            <a:extLst>
              <a:ext uri="{FF2B5EF4-FFF2-40B4-BE49-F238E27FC236}">
                <a16:creationId xmlns:a16="http://schemas.microsoft.com/office/drawing/2014/main" id="{DD51D7FE-AD43-4F6E-AEE7-9478D0735EAB}"/>
              </a:ext>
            </a:extLst>
          </xdr:cNvPr>
          <xdr:cNvSpPr/>
        </xdr:nvSpPr>
        <xdr:spPr>
          <a:xfrm>
            <a:off x="123825" y="695325"/>
            <a:ext cx="2028825" cy="704850"/>
          </a:xfrm>
          <a:prstGeom prst="roundRect">
            <a:avLst/>
          </a:prstGeom>
          <a:solidFill>
            <a:srgbClr val="84A98C"/>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27" name="Group 26">
            <a:hlinkClick xmlns:r="http://schemas.openxmlformats.org/officeDocument/2006/relationships" r:id="rId10"/>
            <a:extLst>
              <a:ext uri="{FF2B5EF4-FFF2-40B4-BE49-F238E27FC236}">
                <a16:creationId xmlns:a16="http://schemas.microsoft.com/office/drawing/2014/main" id="{6488CACF-5C00-4EAF-9F2C-1142535D8B35}"/>
              </a:ext>
            </a:extLst>
          </xdr:cNvPr>
          <xdr:cNvGrpSpPr/>
        </xdr:nvGrpSpPr>
        <xdr:grpSpPr>
          <a:xfrm>
            <a:off x="314325" y="695325"/>
            <a:ext cx="2276474" cy="666750"/>
            <a:chOff x="190500" y="1273154"/>
            <a:chExt cx="2247899" cy="657225"/>
          </a:xfrm>
        </xdr:grpSpPr>
        <xdr:sp macro="" textlink="">
          <xdr:nvSpPr>
            <xdr:cNvPr id="28" name="Rectangle 27">
              <a:hlinkClick xmlns:r="http://schemas.openxmlformats.org/officeDocument/2006/relationships" r:id="rId10"/>
              <a:extLst>
                <a:ext uri="{FF2B5EF4-FFF2-40B4-BE49-F238E27FC236}">
                  <a16:creationId xmlns:a16="http://schemas.microsoft.com/office/drawing/2014/main" id="{28BE1C39-D0CD-A71F-0E1F-394BD4A9B2F7}"/>
                </a:ext>
              </a:extLst>
            </xdr:cNvPr>
            <xdr:cNvSpPr/>
          </xdr:nvSpPr>
          <xdr:spPr>
            <a:xfrm>
              <a:off x="200145" y="1273154"/>
              <a:ext cx="2238254"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Home</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pic>
          <xdr:nvPicPr>
            <xdr:cNvPr id="29" name="Graphic 28" descr="Home with solid fill">
              <a:extLst>
                <a:ext uri="{FF2B5EF4-FFF2-40B4-BE49-F238E27FC236}">
                  <a16:creationId xmlns:a16="http://schemas.microsoft.com/office/drawing/2014/main" id="{8ECEC0BC-753F-2351-C2C5-32AE48582BA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0500" y="1333500"/>
              <a:ext cx="466455" cy="466725"/>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2</xdr:col>
      <xdr:colOff>762000</xdr:colOff>
      <xdr:row>56</xdr:row>
      <xdr:rowOff>120692</xdr:rowOff>
    </xdr:to>
    <xdr:sp macro="" textlink="">
      <xdr:nvSpPr>
        <xdr:cNvPr id="2" name="Rectangle 1">
          <a:extLst>
            <a:ext uri="{FF2B5EF4-FFF2-40B4-BE49-F238E27FC236}">
              <a16:creationId xmlns:a16="http://schemas.microsoft.com/office/drawing/2014/main" id="{A60FB4C9-57B5-4DA3-944D-352107A20516}"/>
            </a:ext>
          </a:extLst>
        </xdr:cNvPr>
        <xdr:cNvSpPr/>
      </xdr:nvSpPr>
      <xdr:spPr>
        <a:xfrm>
          <a:off x="0" y="619125"/>
          <a:ext cx="1981200" cy="10674392"/>
        </a:xfrm>
        <a:prstGeom prst="rect">
          <a:avLst/>
        </a:prstGeom>
        <a:solidFill>
          <a:srgbClr val="2F3E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748810</xdr:colOff>
      <xdr:row>1</xdr:row>
      <xdr:rowOff>0</xdr:rowOff>
    </xdr:from>
    <xdr:to>
      <xdr:col>3</xdr:col>
      <xdr:colOff>257174</xdr:colOff>
      <xdr:row>56</xdr:row>
      <xdr:rowOff>120692</xdr:rowOff>
    </xdr:to>
    <xdr:sp macro="" textlink="">
      <xdr:nvSpPr>
        <xdr:cNvPr id="3" name="Rectangle 2">
          <a:extLst>
            <a:ext uri="{FF2B5EF4-FFF2-40B4-BE49-F238E27FC236}">
              <a16:creationId xmlns:a16="http://schemas.microsoft.com/office/drawing/2014/main" id="{030F5FD8-87A6-4FB1-955F-9AD7A08A0708}"/>
            </a:ext>
          </a:extLst>
        </xdr:cNvPr>
        <xdr:cNvSpPr/>
      </xdr:nvSpPr>
      <xdr:spPr>
        <a:xfrm>
          <a:off x="1968010" y="619125"/>
          <a:ext cx="317989" cy="10674392"/>
        </a:xfrm>
        <a:prstGeom prst="rect">
          <a:avLst/>
        </a:prstGeom>
        <a:solidFill>
          <a:srgbClr val="84A9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141288</xdr:colOff>
      <xdr:row>9</xdr:row>
      <xdr:rowOff>125413</xdr:rowOff>
    </xdr:from>
    <xdr:to>
      <xdr:col>3</xdr:col>
      <xdr:colOff>486246</xdr:colOff>
      <xdr:row>13</xdr:row>
      <xdr:rowOff>79333</xdr:rowOff>
    </xdr:to>
    <xdr:grpSp>
      <xdr:nvGrpSpPr>
        <xdr:cNvPr id="4" name="Group 3">
          <a:extLst>
            <a:ext uri="{FF2B5EF4-FFF2-40B4-BE49-F238E27FC236}">
              <a16:creationId xmlns:a16="http://schemas.microsoft.com/office/drawing/2014/main" id="{A19016FE-01D1-45CB-A782-6FADEC2AE54A}"/>
            </a:ext>
          </a:extLst>
        </xdr:cNvPr>
        <xdr:cNvGrpSpPr/>
      </xdr:nvGrpSpPr>
      <xdr:grpSpPr>
        <a:xfrm>
          <a:off x="141288" y="2363788"/>
          <a:ext cx="2373783" cy="715920"/>
          <a:chOff x="169863" y="2363788"/>
          <a:chExt cx="2373783" cy="715920"/>
        </a:xfrm>
      </xdr:grpSpPr>
      <xdr:sp macro="" textlink="">
        <xdr:nvSpPr>
          <xdr:cNvPr id="5" name="Rectangle: Rounded Corners 4">
            <a:extLst>
              <a:ext uri="{FF2B5EF4-FFF2-40B4-BE49-F238E27FC236}">
                <a16:creationId xmlns:a16="http://schemas.microsoft.com/office/drawing/2014/main" id="{F1867A96-6431-A69C-5342-644D5463555D}"/>
              </a:ext>
            </a:extLst>
          </xdr:cNvPr>
          <xdr:cNvSpPr/>
        </xdr:nvSpPr>
        <xdr:spPr>
          <a:xfrm>
            <a:off x="169863" y="2363788"/>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6" name="Group 5">
            <a:extLst>
              <a:ext uri="{FF2B5EF4-FFF2-40B4-BE49-F238E27FC236}">
                <a16:creationId xmlns:a16="http://schemas.microsoft.com/office/drawing/2014/main" id="{15627DF9-D28E-5A57-B585-DC692713F2C1}"/>
              </a:ext>
            </a:extLst>
          </xdr:cNvPr>
          <xdr:cNvGrpSpPr/>
        </xdr:nvGrpSpPr>
        <xdr:grpSpPr>
          <a:xfrm>
            <a:off x="304800" y="2422483"/>
            <a:ext cx="2238846" cy="657225"/>
            <a:chOff x="304800" y="2879683"/>
            <a:chExt cx="2238846" cy="657225"/>
          </a:xfrm>
        </xdr:grpSpPr>
        <xdr:pic>
          <xdr:nvPicPr>
            <xdr:cNvPr id="7" name="Graphic 6" descr="Database with solid fill">
              <a:extLst>
                <a:ext uri="{FF2B5EF4-FFF2-40B4-BE49-F238E27FC236}">
                  <a16:creationId xmlns:a16="http://schemas.microsoft.com/office/drawing/2014/main" id="{5BAB6498-5394-E390-8FED-17EA365B1D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5271" y="2946358"/>
              <a:ext cx="456444" cy="468000"/>
            </a:xfrm>
            <a:prstGeom prst="rect">
              <a:avLst/>
            </a:prstGeom>
          </xdr:spPr>
        </xdr:pic>
        <xdr:sp macro="" textlink="">
          <xdr:nvSpPr>
            <xdr:cNvPr id="8" name="Rectangle 7">
              <a:hlinkClick xmlns:r="http://schemas.openxmlformats.org/officeDocument/2006/relationships" r:id="rId3"/>
              <a:extLst>
                <a:ext uri="{FF2B5EF4-FFF2-40B4-BE49-F238E27FC236}">
                  <a16:creationId xmlns:a16="http://schemas.microsoft.com/office/drawing/2014/main" id="{2E734CF5-FA89-A1F8-941A-A977E9409684}"/>
                </a:ext>
              </a:extLst>
            </xdr:cNvPr>
            <xdr:cNvSpPr/>
          </xdr:nvSpPr>
          <xdr:spPr>
            <a:xfrm>
              <a:off x="304800" y="2879683"/>
              <a:ext cx="223884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DataBase</a:t>
              </a:r>
            </a:p>
          </xdr:txBody>
        </xdr:sp>
      </xdr:grpSp>
    </xdr:grpSp>
    <xdr:clientData/>
  </xdr:twoCellAnchor>
  <xdr:twoCellAnchor>
    <xdr:from>
      <xdr:col>0</xdr:col>
      <xdr:colOff>142875</xdr:colOff>
      <xdr:row>1</xdr:row>
      <xdr:rowOff>95250</xdr:rowOff>
    </xdr:from>
    <xdr:to>
      <xdr:col>3</xdr:col>
      <xdr:colOff>581024</xdr:colOff>
      <xdr:row>4</xdr:row>
      <xdr:rowOff>209550</xdr:rowOff>
    </xdr:to>
    <xdr:grpSp>
      <xdr:nvGrpSpPr>
        <xdr:cNvPr id="9" name="Group 8">
          <a:extLst>
            <a:ext uri="{FF2B5EF4-FFF2-40B4-BE49-F238E27FC236}">
              <a16:creationId xmlns:a16="http://schemas.microsoft.com/office/drawing/2014/main" id="{87DBCC7D-5BAD-40D5-911F-79795DA884F5}"/>
            </a:ext>
          </a:extLst>
        </xdr:cNvPr>
        <xdr:cNvGrpSpPr/>
      </xdr:nvGrpSpPr>
      <xdr:grpSpPr>
        <a:xfrm>
          <a:off x="142875" y="714375"/>
          <a:ext cx="2466974" cy="695325"/>
          <a:chOff x="2438400" y="7715250"/>
          <a:chExt cx="2466974" cy="695325"/>
        </a:xfrm>
      </xdr:grpSpPr>
      <xdr:sp macro="" textlink="">
        <xdr:nvSpPr>
          <xdr:cNvPr id="10" name="Rectangle: Rounded Corners 9">
            <a:extLst>
              <a:ext uri="{FF2B5EF4-FFF2-40B4-BE49-F238E27FC236}">
                <a16:creationId xmlns:a16="http://schemas.microsoft.com/office/drawing/2014/main" id="{A7D9579D-915E-271D-A412-67A5BA676380}"/>
              </a:ext>
            </a:extLst>
          </xdr:cNvPr>
          <xdr:cNvSpPr/>
        </xdr:nvSpPr>
        <xdr:spPr>
          <a:xfrm>
            <a:off x="2438400" y="7715250"/>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11" name="Group 10">
            <a:hlinkClick xmlns:r="http://schemas.openxmlformats.org/officeDocument/2006/relationships" r:id="rId4"/>
            <a:extLst>
              <a:ext uri="{FF2B5EF4-FFF2-40B4-BE49-F238E27FC236}">
                <a16:creationId xmlns:a16="http://schemas.microsoft.com/office/drawing/2014/main" id="{565A1139-C144-AF37-E769-20BFE78F3C41}"/>
              </a:ext>
            </a:extLst>
          </xdr:cNvPr>
          <xdr:cNvGrpSpPr/>
        </xdr:nvGrpSpPr>
        <xdr:grpSpPr>
          <a:xfrm>
            <a:off x="2628900" y="7715250"/>
            <a:ext cx="2276474" cy="657225"/>
            <a:chOff x="190500" y="1273154"/>
            <a:chExt cx="2247899" cy="657225"/>
          </a:xfrm>
        </xdr:grpSpPr>
        <xdr:sp macro="" textlink="">
          <xdr:nvSpPr>
            <xdr:cNvPr id="12" name="Rectangle 11">
              <a:hlinkClick xmlns:r="http://schemas.openxmlformats.org/officeDocument/2006/relationships" r:id="rId4"/>
              <a:extLst>
                <a:ext uri="{FF2B5EF4-FFF2-40B4-BE49-F238E27FC236}">
                  <a16:creationId xmlns:a16="http://schemas.microsoft.com/office/drawing/2014/main" id="{10D99D44-D260-D305-16A1-AFF889C2BD97}"/>
                </a:ext>
              </a:extLst>
            </xdr:cNvPr>
            <xdr:cNvSpPr/>
          </xdr:nvSpPr>
          <xdr:spPr>
            <a:xfrm>
              <a:off x="200145" y="1273154"/>
              <a:ext cx="2238254"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Home</a:t>
              </a:r>
              <a:endParaRPr lang="en-GB" sz="1100" b="1">
                <a:solidFill>
                  <a:schemeClr val="bg1"/>
                </a:solidFill>
                <a:latin typeface="+mn-lt"/>
                <a:ea typeface="ADLaM Display" panose="02010000000000000000" pitchFamily="2" charset="0"/>
                <a:cs typeface="ADLaM Display" panose="02010000000000000000" pitchFamily="2" charset="0"/>
              </a:endParaRPr>
            </a:p>
          </xdr:txBody>
        </xdr:sp>
        <xdr:pic>
          <xdr:nvPicPr>
            <xdr:cNvPr id="13" name="Graphic 12" descr="Home with solid fill">
              <a:extLst>
                <a:ext uri="{FF2B5EF4-FFF2-40B4-BE49-F238E27FC236}">
                  <a16:creationId xmlns:a16="http://schemas.microsoft.com/office/drawing/2014/main" id="{E91D61C9-1988-D258-0332-671621BDDF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500" y="1333500"/>
              <a:ext cx="466455" cy="466725"/>
            </a:xfrm>
            <a:prstGeom prst="rect">
              <a:avLst/>
            </a:prstGeom>
          </xdr:spPr>
        </xdr:pic>
      </xdr:grpSp>
    </xdr:grpSp>
    <xdr:clientData/>
  </xdr:twoCellAnchor>
  <xdr:twoCellAnchor>
    <xdr:from>
      <xdr:col>0</xdr:col>
      <xdr:colOff>504825</xdr:colOff>
      <xdr:row>14</xdr:row>
      <xdr:rowOff>38100</xdr:rowOff>
    </xdr:from>
    <xdr:to>
      <xdr:col>4</xdr:col>
      <xdr:colOff>152399</xdr:colOff>
      <xdr:row>17</xdr:row>
      <xdr:rowOff>161925</xdr:rowOff>
    </xdr:to>
    <xdr:grpSp>
      <xdr:nvGrpSpPr>
        <xdr:cNvPr id="27" name="Group 26">
          <a:hlinkClick xmlns:r="http://schemas.openxmlformats.org/officeDocument/2006/relationships" r:id="rId7"/>
          <a:extLst>
            <a:ext uri="{FF2B5EF4-FFF2-40B4-BE49-F238E27FC236}">
              <a16:creationId xmlns:a16="http://schemas.microsoft.com/office/drawing/2014/main" id="{355B1171-08C8-4EF3-3E4A-5E78C16DCB62}"/>
            </a:ext>
          </a:extLst>
        </xdr:cNvPr>
        <xdr:cNvGrpSpPr/>
      </xdr:nvGrpSpPr>
      <xdr:grpSpPr>
        <a:xfrm>
          <a:off x="504825" y="3228975"/>
          <a:ext cx="2466974" cy="695325"/>
          <a:chOff x="180975" y="3228975"/>
          <a:chExt cx="2466974" cy="695325"/>
        </a:xfrm>
      </xdr:grpSpPr>
      <xdr:sp macro="" textlink="">
        <xdr:nvSpPr>
          <xdr:cNvPr id="15" name="Rectangle: Rounded Corners 14">
            <a:extLst>
              <a:ext uri="{FF2B5EF4-FFF2-40B4-BE49-F238E27FC236}">
                <a16:creationId xmlns:a16="http://schemas.microsoft.com/office/drawing/2014/main" id="{C2993FC1-7758-5242-97ED-38164BB1A41A}"/>
              </a:ext>
            </a:extLst>
          </xdr:cNvPr>
          <xdr:cNvSpPr/>
        </xdr:nvSpPr>
        <xdr:spPr>
          <a:xfrm>
            <a:off x="180975" y="3228975"/>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6" name="Rectangle 15">
            <a:hlinkClick xmlns:r="http://schemas.openxmlformats.org/officeDocument/2006/relationships" r:id="rId7"/>
            <a:extLst>
              <a:ext uri="{FF2B5EF4-FFF2-40B4-BE49-F238E27FC236}">
                <a16:creationId xmlns:a16="http://schemas.microsoft.com/office/drawing/2014/main" id="{9154B6FC-A241-F3B9-C819-29AD2EB91FCB}"/>
              </a:ext>
            </a:extLst>
          </xdr:cNvPr>
          <xdr:cNvSpPr/>
        </xdr:nvSpPr>
        <xdr:spPr>
          <a:xfrm>
            <a:off x="381243" y="3228975"/>
            <a:ext cx="2266706" cy="657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rgbClr val="354F52"/>
                </a:solidFill>
                <a:latin typeface="+mn-lt"/>
                <a:ea typeface="ADLaM Display" panose="02010000000000000000" pitchFamily="2" charset="0"/>
                <a:cs typeface="ADLaM Display" panose="02010000000000000000" pitchFamily="2" charset="0"/>
              </a:rPr>
              <a:t>Reports</a:t>
            </a:r>
          </a:p>
        </xdr:txBody>
      </xdr:sp>
      <xdr:pic>
        <xdr:nvPicPr>
          <xdr:cNvPr id="17" name="Graphic 16" descr="Bar graph with upward trend with solid fill">
            <a:extLst>
              <a:ext uri="{FF2B5EF4-FFF2-40B4-BE49-F238E27FC236}">
                <a16:creationId xmlns:a16="http://schemas.microsoft.com/office/drawing/2014/main" id="{46AA9D5F-DC14-B568-FDF5-D50674AE94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3375" y="3324225"/>
            <a:ext cx="471600" cy="471600"/>
          </a:xfrm>
          <a:prstGeom prst="rect">
            <a:avLst/>
          </a:prstGeom>
        </xdr:spPr>
      </xdr:pic>
    </xdr:grpSp>
    <xdr:clientData/>
  </xdr:twoCellAnchor>
  <xdr:twoCellAnchor>
    <xdr:from>
      <xdr:col>0</xdr:col>
      <xdr:colOff>123825</xdr:colOff>
      <xdr:row>5</xdr:row>
      <xdr:rowOff>57150</xdr:rowOff>
    </xdr:from>
    <xdr:to>
      <xdr:col>3</xdr:col>
      <xdr:colOff>440551</xdr:colOff>
      <xdr:row>8</xdr:row>
      <xdr:rowOff>180975</xdr:rowOff>
    </xdr:to>
    <xdr:grpSp>
      <xdr:nvGrpSpPr>
        <xdr:cNvPr id="18" name="Group 17">
          <a:hlinkClick xmlns:r="http://schemas.openxmlformats.org/officeDocument/2006/relationships" r:id="rId10"/>
          <a:extLst>
            <a:ext uri="{FF2B5EF4-FFF2-40B4-BE49-F238E27FC236}">
              <a16:creationId xmlns:a16="http://schemas.microsoft.com/office/drawing/2014/main" id="{4B6688BD-2763-4689-B614-CB1CAACD1416}"/>
            </a:ext>
          </a:extLst>
        </xdr:cNvPr>
        <xdr:cNvGrpSpPr/>
      </xdr:nvGrpSpPr>
      <xdr:grpSpPr>
        <a:xfrm>
          <a:off x="123825" y="1533525"/>
          <a:ext cx="2345551" cy="695325"/>
          <a:chOff x="228600" y="1562100"/>
          <a:chExt cx="2345551" cy="695325"/>
        </a:xfrm>
      </xdr:grpSpPr>
      <xdr:sp macro="" textlink="">
        <xdr:nvSpPr>
          <xdr:cNvPr id="19" name="Rectangle: Rounded Corners 18">
            <a:hlinkClick xmlns:r="http://schemas.openxmlformats.org/officeDocument/2006/relationships" r:id="rId11"/>
            <a:extLst>
              <a:ext uri="{FF2B5EF4-FFF2-40B4-BE49-F238E27FC236}">
                <a16:creationId xmlns:a16="http://schemas.microsoft.com/office/drawing/2014/main" id="{9A72E5FE-5EF9-4362-00F1-24FE14040CE4}"/>
              </a:ext>
            </a:extLst>
          </xdr:cNvPr>
          <xdr:cNvSpPr/>
        </xdr:nvSpPr>
        <xdr:spPr>
          <a:xfrm>
            <a:off x="228600" y="1562100"/>
            <a:ext cx="2028825" cy="695325"/>
          </a:xfrm>
          <a:prstGeom prst="roundRect">
            <a:avLst/>
          </a:prstGeom>
          <a:solidFill>
            <a:srgbClr val="84A98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20" name="Group 19">
            <a:extLst>
              <a:ext uri="{FF2B5EF4-FFF2-40B4-BE49-F238E27FC236}">
                <a16:creationId xmlns:a16="http://schemas.microsoft.com/office/drawing/2014/main" id="{823CF9DE-B7E7-69B4-44F5-7837CA482282}"/>
              </a:ext>
            </a:extLst>
          </xdr:cNvPr>
          <xdr:cNvGrpSpPr/>
        </xdr:nvGrpSpPr>
        <xdr:grpSpPr>
          <a:xfrm>
            <a:off x="314325" y="1597004"/>
            <a:ext cx="2259826" cy="552450"/>
            <a:chOff x="314325" y="1597004"/>
            <a:chExt cx="2259826" cy="552450"/>
          </a:xfrm>
        </xdr:grpSpPr>
        <xdr:sp macro="" textlink="">
          <xdr:nvSpPr>
            <xdr:cNvPr id="21" name="Rectangle 20">
              <a:hlinkClick xmlns:r="http://schemas.openxmlformats.org/officeDocument/2006/relationships" r:id="rId10"/>
              <a:extLst>
                <a:ext uri="{FF2B5EF4-FFF2-40B4-BE49-F238E27FC236}">
                  <a16:creationId xmlns:a16="http://schemas.microsoft.com/office/drawing/2014/main" id="{170A7776-7B9E-0C39-B16B-07D7A3B4FBE2}"/>
                </a:ext>
              </a:extLst>
            </xdr:cNvPr>
            <xdr:cNvSpPr/>
          </xdr:nvSpPr>
          <xdr:spPr>
            <a:xfrm>
              <a:off x="335479" y="1597004"/>
              <a:ext cx="2238672"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GB" sz="2000" b="1">
                  <a:solidFill>
                    <a:schemeClr val="bg1"/>
                  </a:solidFill>
                  <a:latin typeface="+mn-lt"/>
                  <a:ea typeface="ADLaM Display" panose="02010000000000000000" pitchFamily="2" charset="0"/>
                  <a:cs typeface="ADLaM Display" panose="02010000000000000000" pitchFamily="2" charset="0"/>
                </a:rPr>
                <a:t>Product</a:t>
              </a:r>
            </a:p>
          </xdr:txBody>
        </xdr:sp>
        <xdr:pic>
          <xdr:nvPicPr>
            <xdr:cNvPr id="22" name="Graphic 21" descr="Search Inventory with solid fill">
              <a:extLst>
                <a:ext uri="{FF2B5EF4-FFF2-40B4-BE49-F238E27FC236}">
                  <a16:creationId xmlns:a16="http://schemas.microsoft.com/office/drawing/2014/main" id="{F455D096-3300-DCBA-FB0A-D8D1DD2B746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4325" y="1657350"/>
              <a:ext cx="468000" cy="468000"/>
            </a:xfrm>
            <a:prstGeom prst="rect">
              <a:avLst/>
            </a:prstGeom>
          </xdr:spPr>
        </xdr:pic>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9C2755-8FC1-4DED-8E5D-E342E797B0F0}" name="ProductData" displayName="ProductData" ref="G4:V21" totalsRowShown="0" headerRowDxfId="43" headerRowBorderDxfId="42" tableBorderDxfId="41">
  <autoFilter ref="G4:V21" xr:uid="{E69C2755-8FC1-4DED-8E5D-E342E797B0F0}"/>
  <sortState xmlns:xlrd2="http://schemas.microsoft.com/office/spreadsheetml/2017/richdata2" ref="G5:V16">
    <sortCondition ref="G5:G16"/>
  </sortState>
  <tableColumns count="16">
    <tableColumn id="1" xr3:uid="{B405DA3C-25E4-4E26-9543-3323275C521B}" name="Product #" dataDxfId="40"/>
    <tableColumn id="15" xr3:uid="{E392117F-EC75-4A38-AFCA-8B7471AD8704}" name="Deleted" dataDxfId="39"/>
    <tableColumn id="12" xr3:uid="{4C3ECFF2-1A94-4110-90B3-A26D47963B65}" name="Description" dataDxfId="38"/>
    <tableColumn id="7" xr3:uid="{C4DF0A6B-3DA3-422B-9D16-EB57E803A2D4}" name="UoM" dataDxfId="37"/>
    <tableColumn id="8" xr3:uid="{943418F4-9E14-485C-8032-B492A07A7EDF}" name="Category" dataDxfId="36"/>
    <tableColumn id="4" xr3:uid="{AD22BF2B-8E08-4A6C-A424-AFB6C18104D8}" name="EAN" dataDxfId="35"/>
    <tableColumn id="9" xr3:uid="{8ADEA6C8-73AB-4274-8409-707D18549D5C}" name="Supplier" dataDxfId="34"/>
    <tableColumn id="10" xr3:uid="{EA6766B3-37FB-4A3D-8794-B13B80F6F8B5}" name="Unit Price" dataDxfId="33"/>
    <tableColumn id="11" xr3:uid="{BF3E2608-A06B-4FA5-947C-94C99B8A0999}" name="Last Purchased" dataDxfId="32"/>
    <tableColumn id="2" xr3:uid="{08B26FE3-D035-46A7-8254-72F3E35A3D1B}" name="Qty on Hand" dataDxfId="31">
      <calculatedColumnFormula>SUMIF(movementData[Product '#],ProductData[[#This Row],[Product '#]],movementData[Qty])</calculatedColumnFormula>
    </tableColumn>
    <tableColumn id="14" xr3:uid="{2B529929-BDCB-436A-8DB5-95EB51F401F6}" name="Stock Value" dataDxfId="30">
      <calculatedColumnFormula>+ProductData[[#This Row],[Unit Price]]*ProductData[[#This Row],[Qty on Hand]]</calculatedColumnFormula>
    </tableColumn>
    <tableColumn id="3" xr3:uid="{5E95AB57-5C16-4C82-9539-1B5F2A07F38D}" name="Stock Location" dataDxfId="29"/>
    <tableColumn id="5" xr3:uid="{1DEF1BC6-7805-462F-9271-3815620D4915}" name="Reorder Point" dataDxfId="28"/>
    <tableColumn id="6" xr3:uid="{84771245-0513-4203-BB02-042A2F5E4B11}" name="Reorder Qty" dataDxfId="27">
      <calculatedColumnFormula>IF(ProductData[[#This Row],[Qty on Hand]]&lt;ProductData[[#This Row],[Reorder Point]],+ProductData[[#This Row],[Reorder Point]]-ProductData[[#This Row],[Qty on Hand]],0)</calculatedColumnFormula>
    </tableColumn>
    <tableColumn id="16" xr3:uid="{440A4739-9243-4C9C-B366-9FD9E7E26BB0}" name="PO Commitement" dataDxfId="26">
      <calculatedColumnFormula>+ProductData[[#This Row],[Reorder Qty]]*ProductData[[#This Row],[Unit Price]]</calculatedColumnFormula>
    </tableColumn>
    <tableColumn id="13" xr3:uid="{656DE316-567A-4299-98AD-7F93D734F532}" name="Notes" dataDxfId="2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EFC024-CCB1-446E-B0C8-ABA5E0368FC3}" name="movementData" displayName="movementData" ref="Z4:AE115" totalsRowShown="0" headerRowDxfId="24" dataDxfId="22" headerRowBorderDxfId="23" tableBorderDxfId="21">
  <autoFilter ref="Z4:AE115" xr:uid="{66EFC024-CCB1-446E-B0C8-ABA5E0368FC3}"/>
  <tableColumns count="6">
    <tableColumn id="1" xr3:uid="{A9C8F713-A51C-4871-915E-CF9D2EAD6DFE}" name="Product #" dataDxfId="20"/>
    <tableColumn id="2" xr3:uid="{2F67D5A5-F460-4F0F-92BF-B02A38E0AB96}" name="Type" dataDxfId="19"/>
    <tableColumn id="3" xr3:uid="{2BCA3934-50AE-4C22-85AA-980BCC700410}" name="PO" dataDxfId="18"/>
    <tableColumn id="4" xr3:uid="{8B6AA489-77F8-4E28-91D5-C1680995E022}" name="Qty" dataDxfId="17"/>
    <tableColumn id="6" xr3:uid="{0F5CA294-F614-44AC-87B8-D1FCB88EE7F4}" name="Date" dataDxfId="16"/>
    <tableColumn id="7" xr3:uid="{30989AFC-D131-4594-9F73-C091D7AC3011}" name="Notes" dataDxfId="15"/>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CBA318-D536-4080-8E55-F3C4E86BC337}" name="Supplers" displayName="Supplers" ref="AK4:AL8" totalsRowShown="0" headerRowDxfId="14" headerRowBorderDxfId="13" tableBorderDxfId="12" totalsRowBorderDxfId="11">
  <autoFilter ref="AK4:AL8" xr:uid="{F3CBA318-D536-4080-8E55-F3C4E86BC337}"/>
  <tableColumns count="2">
    <tableColumn id="1" xr3:uid="{4C3FAA24-ECA6-4F4F-88A0-FCEB6134C201}" name="Supplier"/>
    <tableColumn id="2" xr3:uid="{64DFC509-5A08-400E-A62C-23BD9EDBDAF5}" name="Descriptio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2CB275-A4D3-4AD6-B285-F87A92B8FFBC}" name="UoM" displayName="UoM" ref="AN4:AO22" totalsRowShown="0" headerRowBorderDxfId="10" tableBorderDxfId="9" totalsRowBorderDxfId="8">
  <autoFilter ref="AN4:AO22" xr:uid="{822CB275-A4D3-4AD6-B285-F87A92B8FFBC}"/>
  <tableColumns count="2">
    <tableColumn id="1" xr3:uid="{1EA6E6FC-3ECA-4634-83F9-5D9E43B6DC26}" name="UoM" dataDxfId="7"/>
    <tableColumn id="2" xr3:uid="{E044CA7F-0DE1-42A3-B6EC-75198980F686}" name="Description" dataDxfId="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EF9FA7-12F7-4DBF-AA34-A46700BF8ECE}" name="Category" displayName="Category" ref="AQ4:AR10" totalsRowShown="0" headerRowDxfId="5" headerRowBorderDxfId="4" tableBorderDxfId="3" totalsRowBorderDxfId="2">
  <autoFilter ref="AQ4:AR10" xr:uid="{33EF9FA7-12F7-4DBF-AA34-A46700BF8ECE}"/>
  <tableColumns count="2">
    <tableColumn id="1" xr3:uid="{5699DF09-37BE-4CE9-A587-D24058E49EF9}" name="Category" dataDxfId="1"/>
    <tableColumn id="2" xr3:uid="{C7749A04-BFDF-4878-A382-C7DD586735C0}" name="Description"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DBECA-1B09-4D2E-9B10-DD7B594F6FDA}">
  <sheetPr>
    <tabColor theme="7"/>
    <pageSetUpPr fitToPage="1"/>
  </sheetPr>
  <dimension ref="E1:AP299"/>
  <sheetViews>
    <sheetView showGridLines="0" zoomScaleNormal="100" zoomScaleSheetLayoutView="100" workbookViewId="0"/>
  </sheetViews>
  <sheetFormatPr defaultRowHeight="16.5"/>
  <cols>
    <col min="1" max="4" width="9.140625" style="1"/>
    <col min="5" max="5" width="8.28515625" style="1" customWidth="1"/>
    <col min="6" max="6" width="3.42578125" style="1" customWidth="1"/>
    <col min="7" max="7" width="11.7109375" style="1" customWidth="1"/>
    <col min="8" max="8" width="38.140625" style="1" customWidth="1"/>
    <col min="9" max="9" width="3.42578125" style="1" customWidth="1"/>
    <col min="10" max="10" width="11.7109375" style="1" customWidth="1"/>
    <col min="11" max="11" width="38.140625" style="1" customWidth="1"/>
    <col min="12" max="12" width="3.5703125" style="1" customWidth="1"/>
    <col min="13" max="13" width="3.42578125" style="1" customWidth="1"/>
    <col min="14" max="15" width="9.140625" style="1"/>
    <col min="16" max="16" width="3.85546875" style="1" customWidth="1"/>
    <col min="17" max="17" width="3.42578125" style="1" customWidth="1"/>
    <col min="18" max="18" width="11.7109375" style="3" customWidth="1"/>
    <col min="19" max="19" width="35.7109375" style="1" customWidth="1"/>
    <col min="20" max="20" width="3.5703125" style="1" customWidth="1"/>
    <col min="21" max="21" width="11.7109375" style="1" customWidth="1"/>
    <col min="22" max="22" width="16.7109375" style="1" customWidth="1"/>
    <col min="23" max="23" width="3.5703125" style="1" customWidth="1"/>
    <col min="24" max="24" width="9.140625" style="1"/>
    <col min="25" max="25" width="14.85546875" style="1" customWidth="1"/>
    <col min="26" max="26" width="3.42578125" style="1" customWidth="1"/>
    <col min="27" max="28" width="9.140625" style="1"/>
    <col min="29" max="29" width="14.28515625" style="1" customWidth="1"/>
    <col min="30" max="34" width="9.140625" style="1"/>
    <col min="35" max="35" width="15.28515625" style="1" customWidth="1"/>
    <col min="36" max="36" width="12.7109375" style="1" customWidth="1"/>
    <col min="37" max="37" width="12.7109375" style="1" bestFit="1" customWidth="1"/>
    <col min="38" max="41" width="9.140625" style="1"/>
    <col min="42" max="42" width="15.5703125" style="1" bestFit="1" customWidth="1"/>
    <col min="43" max="16384" width="9.140625" style="1"/>
  </cols>
  <sheetData>
    <row r="1" spans="5:36" s="6" customFormat="1" ht="48.75" customHeight="1">
      <c r="E1" s="4" t="s">
        <v>0</v>
      </c>
      <c r="F1" s="5"/>
      <c r="G1" s="5"/>
      <c r="H1" s="5"/>
      <c r="I1" s="5"/>
      <c r="J1" s="5"/>
      <c r="K1" s="5"/>
      <c r="L1" s="5"/>
      <c r="M1" s="5"/>
      <c r="P1" s="5"/>
      <c r="Q1" s="5"/>
      <c r="R1" s="19"/>
      <c r="S1" s="5"/>
      <c r="T1" s="5"/>
      <c r="W1" s="5"/>
      <c r="Z1" s="5"/>
    </row>
    <row r="3" spans="5:36">
      <c r="Q3" s="3"/>
      <c r="R3" s="9"/>
      <c r="S3"/>
      <c r="T3"/>
      <c r="U3"/>
      <c r="V3"/>
      <c r="W3"/>
      <c r="X3"/>
      <c r="Y3" s="16"/>
      <c r="Z3"/>
      <c r="AA3"/>
      <c r="AB3"/>
      <c r="AC3" s="17"/>
      <c r="AD3" s="23"/>
      <c r="AE3" s="23"/>
      <c r="AF3" s="23"/>
    </row>
    <row r="4" spans="5:36" ht="15.75" customHeight="1">
      <c r="Q4" s="3"/>
      <c r="R4" s="9"/>
      <c r="S4"/>
      <c r="T4"/>
      <c r="U4"/>
      <c r="V4"/>
      <c r="W4"/>
      <c r="X4"/>
      <c r="Y4" s="16"/>
      <c r="Z4"/>
      <c r="AA4"/>
      <c r="AB4"/>
      <c r="AC4" s="17"/>
      <c r="AD4" s="23"/>
      <c r="AE4" s="23"/>
      <c r="AF4" s="23"/>
      <c r="AG4"/>
      <c r="AH4"/>
    </row>
    <row r="5" spans="5:36" ht="42.75" customHeight="1">
      <c r="Q5" s="3"/>
      <c r="R5" s="9"/>
      <c r="S5"/>
      <c r="T5"/>
      <c r="U5"/>
      <c r="V5"/>
      <c r="W5"/>
      <c r="X5"/>
      <c r="Y5" s="16"/>
      <c r="Z5"/>
      <c r="AA5"/>
      <c r="AB5"/>
      <c r="AC5" s="17"/>
      <c r="AD5" s="23"/>
      <c r="AE5" s="23"/>
      <c r="AF5" s="23"/>
    </row>
    <row r="6" spans="5:36">
      <c r="Q6" s="3"/>
      <c r="R6" s="9"/>
      <c r="S6"/>
      <c r="T6"/>
      <c r="U6"/>
      <c r="V6"/>
      <c r="W6"/>
      <c r="X6"/>
      <c r="Y6" s="16"/>
      <c r="Z6"/>
      <c r="AA6"/>
      <c r="AB6"/>
      <c r="AC6" s="17"/>
      <c r="AD6" s="23"/>
      <c r="AE6" s="23"/>
      <c r="AF6" s="23"/>
    </row>
    <row r="7" spans="5:36" ht="26.25">
      <c r="Q7" s="3"/>
      <c r="R7" s="9"/>
      <c r="S7"/>
      <c r="T7"/>
      <c r="U7"/>
      <c r="V7"/>
      <c r="W7"/>
      <c r="X7"/>
      <c r="Y7" s="16"/>
      <c r="Z7"/>
      <c r="AA7"/>
      <c r="AB7"/>
      <c r="AC7" s="17"/>
      <c r="AD7" s="23"/>
      <c r="AE7" s="23"/>
      <c r="AF7" s="23"/>
      <c r="AJ7" s="27"/>
    </row>
    <row r="8" spans="5:36" ht="16.5" customHeight="1">
      <c r="Q8" s="3"/>
      <c r="R8" s="9"/>
      <c r="S8"/>
      <c r="T8"/>
      <c r="U8"/>
      <c r="V8"/>
      <c r="W8"/>
      <c r="X8"/>
      <c r="Y8" s="16"/>
      <c r="Z8"/>
      <c r="AA8"/>
      <c r="AB8"/>
      <c r="AC8" s="17"/>
      <c r="AD8" s="23"/>
      <c r="AE8" s="23"/>
      <c r="AF8" s="23"/>
      <c r="AJ8" s="26"/>
    </row>
    <row r="9" spans="5:36" ht="24.75" customHeight="1">
      <c r="Q9" s="3"/>
      <c r="R9" s="9"/>
      <c r="S9"/>
      <c r="T9"/>
      <c r="U9"/>
      <c r="V9"/>
      <c r="W9"/>
      <c r="X9"/>
      <c r="Y9" s="16"/>
      <c r="Z9"/>
      <c r="AA9"/>
      <c r="AB9"/>
      <c r="AC9" s="17"/>
      <c r="AD9" s="23"/>
      <c r="AE9" s="23"/>
      <c r="AF9" s="23"/>
      <c r="AJ9" s="27"/>
    </row>
    <row r="10" spans="5:36" ht="16.5" customHeight="1">
      <c r="Q10" s="3"/>
      <c r="R10" s="9"/>
      <c r="S10"/>
      <c r="T10"/>
      <c r="U10"/>
      <c r="V10"/>
      <c r="W10"/>
      <c r="X10"/>
      <c r="Y10" s="16"/>
      <c r="Z10"/>
      <c r="AA10"/>
      <c r="AB10"/>
      <c r="AC10" s="17"/>
      <c r="AD10" s="23"/>
      <c r="AE10" s="23"/>
      <c r="AF10" s="23"/>
      <c r="AG10" s="26"/>
      <c r="AH10" s="26"/>
      <c r="AI10" s="26"/>
      <c r="AJ10" s="26"/>
    </row>
    <row r="11" spans="5:36" ht="24.75" customHeight="1">
      <c r="Q11" s="3"/>
      <c r="R11" s="9"/>
      <c r="S11"/>
      <c r="T11"/>
      <c r="U11"/>
      <c r="V11"/>
      <c r="W11"/>
      <c r="X11"/>
      <c r="Y11" s="16"/>
      <c r="Z11"/>
      <c r="AA11"/>
      <c r="AB11"/>
      <c r="AC11" s="17"/>
      <c r="AD11" s="23"/>
      <c r="AE11" s="23"/>
      <c r="AF11" s="23"/>
    </row>
    <row r="12" spans="5:36" ht="16.5" customHeight="1">
      <c r="Q12" s="3"/>
      <c r="R12" s="9"/>
      <c r="S12"/>
      <c r="T12"/>
      <c r="U12"/>
      <c r="V12"/>
      <c r="W12"/>
      <c r="X12"/>
      <c r="Y12" s="16"/>
      <c r="Z12"/>
      <c r="AA12"/>
      <c r="AB12"/>
      <c r="AC12" s="17"/>
      <c r="AD12" s="23"/>
      <c r="AE12" s="23"/>
      <c r="AF12" s="23"/>
    </row>
    <row r="13" spans="5:36" ht="24.75" customHeight="1">
      <c r="Q13" s="3"/>
      <c r="R13" s="9"/>
      <c r="S13"/>
      <c r="T13"/>
      <c r="U13"/>
      <c r="V13"/>
      <c r="W13"/>
      <c r="X13"/>
      <c r="Y13" s="16"/>
      <c r="Z13"/>
      <c r="AA13"/>
      <c r="AB13"/>
      <c r="AC13" s="17"/>
      <c r="AD13" s="23"/>
      <c r="AE13" s="23"/>
      <c r="AF13" s="23"/>
    </row>
    <row r="14" spans="5:36" ht="16.5" customHeight="1">
      <c r="Q14" s="3"/>
      <c r="R14" s="9"/>
      <c r="S14"/>
      <c r="T14"/>
      <c r="U14"/>
      <c r="V14"/>
      <c r="W14"/>
      <c r="X14"/>
      <c r="Y14" s="16"/>
      <c r="Z14"/>
      <c r="AA14"/>
      <c r="AB14"/>
      <c r="AC14" s="17"/>
      <c r="AD14" s="23"/>
      <c r="AE14" s="23"/>
      <c r="AF14" s="23"/>
    </row>
    <row r="15" spans="5:36" ht="24.75" customHeight="1">
      <c r="Q15" s="3"/>
      <c r="R15" s="9"/>
      <c r="S15"/>
      <c r="T15"/>
      <c r="U15"/>
      <c r="V15"/>
      <c r="W15"/>
      <c r="X15"/>
      <c r="Y15" s="16"/>
      <c r="Z15"/>
      <c r="AA15"/>
      <c r="AB15"/>
      <c r="AC15" s="17"/>
      <c r="AD15" s="23"/>
      <c r="AE15" s="23"/>
      <c r="AF15" s="23"/>
      <c r="AG15"/>
      <c r="AH15"/>
    </row>
    <row r="16" spans="5:36" ht="16.5" customHeight="1">
      <c r="Q16" s="3"/>
      <c r="R16" s="9"/>
      <c r="S16"/>
      <c r="T16"/>
      <c r="U16"/>
      <c r="V16"/>
      <c r="W16"/>
      <c r="X16"/>
      <c r="Y16" s="16"/>
      <c r="Z16"/>
      <c r="AA16"/>
      <c r="AB16"/>
      <c r="AC16" s="17"/>
      <c r="AD16" s="23"/>
      <c r="AE16" s="23"/>
      <c r="AF16" s="23"/>
      <c r="AG16"/>
      <c r="AH16"/>
    </row>
    <row r="17" spans="17:42" ht="93" customHeight="1">
      <c r="Q17" s="3"/>
      <c r="R17" s="9"/>
      <c r="S17"/>
      <c r="T17"/>
      <c r="U17"/>
      <c r="V17"/>
      <c r="W17"/>
      <c r="X17"/>
      <c r="Y17" s="16"/>
      <c r="Z17"/>
      <c r="AA17"/>
      <c r="AB17"/>
      <c r="AC17" s="17"/>
      <c r="AD17" s="23"/>
      <c r="AE17" s="23"/>
      <c r="AF17" s="23"/>
      <c r="AG17"/>
      <c r="AH17"/>
    </row>
    <row r="18" spans="17:42">
      <c r="Q18" s="3"/>
      <c r="R18" s="9"/>
      <c r="S18"/>
      <c r="T18"/>
      <c r="U18"/>
      <c r="V18"/>
      <c r="W18"/>
      <c r="X18"/>
      <c r="Y18" s="16"/>
      <c r="Z18"/>
      <c r="AA18"/>
      <c r="AB18"/>
      <c r="AC18" s="17"/>
      <c r="AD18" s="23"/>
      <c r="AE18" s="23"/>
      <c r="AF18" s="23"/>
    </row>
    <row r="19" spans="17:42">
      <c r="Q19" s="3"/>
      <c r="R19" s="9"/>
      <c r="S19"/>
      <c r="T19"/>
      <c r="U19"/>
      <c r="V19"/>
      <c r="W19"/>
      <c r="X19"/>
      <c r="Y19" s="16"/>
      <c r="Z19"/>
      <c r="AA19"/>
      <c r="AB19"/>
      <c r="AC19" s="17"/>
      <c r="AD19" s="23"/>
      <c r="AE19" s="23"/>
      <c r="AF19" s="23"/>
      <c r="AI19"/>
      <c r="AJ19"/>
      <c r="AN19" s="24"/>
    </row>
    <row r="20" spans="17:42">
      <c r="Q20" s="3"/>
      <c r="R20" s="9"/>
      <c r="S20"/>
      <c r="T20"/>
      <c r="U20"/>
      <c r="V20"/>
      <c r="W20"/>
      <c r="X20"/>
      <c r="Y20" s="16"/>
      <c r="Z20"/>
      <c r="AA20"/>
      <c r="AB20"/>
      <c r="AC20" s="17"/>
      <c r="AD20" s="23"/>
      <c r="AE20" s="23"/>
      <c r="AF20" s="23"/>
      <c r="AI20"/>
      <c r="AJ20"/>
    </row>
    <row r="21" spans="17:42" ht="42.75" customHeight="1">
      <c r="Q21" s="3"/>
      <c r="R21" s="9"/>
      <c r="S21"/>
      <c r="T21"/>
      <c r="U21"/>
      <c r="V21"/>
      <c r="W21"/>
      <c r="X21"/>
      <c r="Y21" s="16"/>
      <c r="Z21"/>
      <c r="AA21"/>
      <c r="AB21"/>
      <c r="AC21" s="17"/>
      <c r="AD21" s="23"/>
      <c r="AE21" s="23"/>
      <c r="AF21" s="23"/>
    </row>
    <row r="22" spans="17:42" ht="19.5" customHeight="1">
      <c r="Q22" s="3"/>
      <c r="R22" s="9"/>
      <c r="S22"/>
      <c r="T22"/>
      <c r="U22"/>
      <c r="V22"/>
      <c r="W22"/>
      <c r="X22"/>
      <c r="Y22" s="16"/>
      <c r="Z22"/>
      <c r="AA22"/>
      <c r="AB22"/>
      <c r="AC22" s="17"/>
      <c r="AD22" s="23"/>
      <c r="AE22" s="23"/>
      <c r="AF22" s="23"/>
      <c r="AG22" s="37"/>
      <c r="AH22" s="37"/>
      <c r="AI22"/>
      <c r="AJ22"/>
    </row>
    <row r="23" spans="17:42" ht="16.5" customHeight="1">
      <c r="Q23" s="3"/>
      <c r="R23" s="9"/>
      <c r="S23"/>
      <c r="T23"/>
      <c r="U23"/>
      <c r="V23"/>
      <c r="W23"/>
      <c r="X23"/>
      <c r="Y23" s="16"/>
      <c r="Z23"/>
      <c r="AA23"/>
      <c r="AB23"/>
      <c r="AC23" s="17"/>
      <c r="AD23" s="23"/>
      <c r="AE23" s="23"/>
      <c r="AF23" s="23"/>
      <c r="AG23" s="23"/>
      <c r="AH23" s="23"/>
      <c r="AI23"/>
      <c r="AJ23"/>
      <c r="AO23"/>
      <c r="AP23" s="18"/>
    </row>
    <row r="24" spans="17:42" ht="16.5" customHeight="1">
      <c r="Q24" s="3"/>
      <c r="R24" s="9"/>
      <c r="S24"/>
      <c r="T24"/>
      <c r="U24"/>
      <c r="V24"/>
      <c r="W24"/>
      <c r="X24"/>
      <c r="Y24" s="16"/>
      <c r="Z24"/>
      <c r="AA24"/>
      <c r="AB24"/>
      <c r="AC24" s="17"/>
      <c r="AD24" s="23"/>
      <c r="AE24" s="23"/>
      <c r="AF24" s="23"/>
      <c r="AG24" s="23"/>
      <c r="AH24" s="23"/>
      <c r="AI24"/>
      <c r="AJ24"/>
      <c r="AO24"/>
      <c r="AP24" s="18"/>
    </row>
    <row r="25" spans="17:42" ht="16.5" customHeight="1">
      <c r="Q25" s="3"/>
      <c r="R25" s="9"/>
      <c r="S25"/>
      <c r="T25"/>
      <c r="U25"/>
      <c r="V25"/>
      <c r="W25"/>
      <c r="X25"/>
      <c r="Y25" s="16"/>
      <c r="Z25"/>
      <c r="AA25"/>
      <c r="AB25"/>
      <c r="AC25" s="17"/>
      <c r="AD25" s="23"/>
      <c r="AE25" s="23"/>
      <c r="AF25" s="23"/>
      <c r="AG25" s="23"/>
      <c r="AH25" s="23"/>
      <c r="AI25"/>
      <c r="AJ25"/>
      <c r="AO25"/>
      <c r="AP25" s="18"/>
    </row>
    <row r="26" spans="17:42" ht="16.5" customHeight="1">
      <c r="Q26" s="3"/>
      <c r="R26" s="9"/>
      <c r="S26"/>
      <c r="T26"/>
      <c r="U26"/>
      <c r="V26"/>
      <c r="W26"/>
      <c r="X26"/>
      <c r="Y26" s="16"/>
      <c r="Z26"/>
      <c r="AA26"/>
      <c r="AB26"/>
      <c r="AC26" s="17"/>
      <c r="AD26" s="23"/>
      <c r="AE26" s="23"/>
      <c r="AF26" s="23"/>
      <c r="AG26" s="23"/>
      <c r="AH26" s="23"/>
      <c r="AI26"/>
      <c r="AJ26"/>
      <c r="AO26"/>
      <c r="AP26" s="18"/>
    </row>
    <row r="27" spans="17:42" ht="16.5" customHeight="1">
      <c r="Q27" s="3"/>
      <c r="R27" s="9"/>
      <c r="S27"/>
      <c r="T27"/>
      <c r="U27"/>
      <c r="V27"/>
      <c r="W27"/>
      <c r="X27"/>
      <c r="Y27" s="16"/>
      <c r="Z27"/>
      <c r="AA27"/>
      <c r="AB27"/>
      <c r="AC27" s="17"/>
      <c r="AD27" s="23"/>
      <c r="AE27" s="23"/>
      <c r="AF27" s="23"/>
      <c r="AG27" s="23"/>
      <c r="AH27" s="23"/>
      <c r="AI27"/>
      <c r="AJ27"/>
      <c r="AO27"/>
      <c r="AP27" s="18"/>
    </row>
    <row r="28" spans="17:42" ht="16.5" customHeight="1">
      <c r="Q28" s="3"/>
      <c r="R28" s="9"/>
      <c r="S28"/>
      <c r="T28"/>
      <c r="U28"/>
      <c r="V28"/>
      <c r="W28"/>
      <c r="X28"/>
      <c r="Y28" s="16"/>
      <c r="Z28"/>
      <c r="AA28"/>
      <c r="AB28"/>
      <c r="AC28" s="17"/>
      <c r="AD28" s="23"/>
      <c r="AE28" s="23"/>
      <c r="AF28" s="23"/>
      <c r="AG28" s="23"/>
      <c r="AH28" s="23"/>
      <c r="AI28"/>
      <c r="AJ28"/>
    </row>
    <row r="29" spans="17:42" ht="16.5" customHeight="1">
      <c r="Q29" s="3"/>
      <c r="R29" s="9"/>
      <c r="S29"/>
      <c r="T29"/>
      <c r="U29"/>
      <c r="V29"/>
      <c r="W29"/>
      <c r="X29"/>
      <c r="Y29" s="16"/>
      <c r="Z29"/>
      <c r="AA29"/>
      <c r="AB29"/>
      <c r="AC29" s="17"/>
      <c r="AD29" s="23"/>
      <c r="AE29" s="23"/>
      <c r="AF29" s="23"/>
      <c r="AG29" s="23"/>
      <c r="AH29" s="23"/>
      <c r="AI29"/>
      <c r="AJ29"/>
    </row>
    <row r="30" spans="17:42" ht="16.5" customHeight="1">
      <c r="Q30" s="3"/>
      <c r="R30" s="9"/>
      <c r="S30"/>
      <c r="T30"/>
      <c r="U30"/>
      <c r="V30"/>
      <c r="W30"/>
      <c r="X30"/>
      <c r="Y30" s="16"/>
      <c r="Z30"/>
      <c r="AA30"/>
      <c r="AB30"/>
      <c r="AC30" s="17"/>
      <c r="AD30" s="23"/>
      <c r="AE30" s="23"/>
      <c r="AF30" s="23"/>
      <c r="AG30" s="23"/>
      <c r="AH30" s="23"/>
      <c r="AI30"/>
      <c r="AJ30"/>
    </row>
    <row r="31" spans="17:42" ht="16.5" customHeight="1">
      <c r="Q31" s="3"/>
      <c r="R31" s="9"/>
      <c r="S31"/>
      <c r="T31"/>
      <c r="U31"/>
      <c r="V31"/>
      <c r="W31"/>
      <c r="X31"/>
      <c r="Y31" s="16"/>
      <c r="Z31"/>
      <c r="AA31"/>
      <c r="AB31"/>
      <c r="AC31" s="17"/>
      <c r="AD31" s="23"/>
      <c r="AE31" s="23"/>
      <c r="AF31" s="23"/>
      <c r="AG31" s="23"/>
      <c r="AH31" s="23"/>
      <c r="AI31"/>
      <c r="AJ31"/>
      <c r="AO31"/>
      <c r="AP31" s="18"/>
    </row>
    <row r="32" spans="17:42">
      <c r="Q32" s="3"/>
      <c r="R32" s="9"/>
      <c r="S32"/>
      <c r="T32"/>
      <c r="U32"/>
      <c r="V32"/>
      <c r="W32"/>
      <c r="X32"/>
      <c r="Y32" s="16"/>
      <c r="Z32"/>
      <c r="AA32"/>
      <c r="AB32"/>
      <c r="AC32" s="17"/>
      <c r="AD32" s="23"/>
      <c r="AE32" s="23"/>
      <c r="AF32" s="23"/>
      <c r="AG32" s="23"/>
      <c r="AH32" s="23"/>
      <c r="AI32"/>
      <c r="AJ32"/>
      <c r="AO32"/>
      <c r="AP32" s="18"/>
    </row>
    <row r="33" spans="17:42">
      <c r="Q33" s="3"/>
      <c r="R33" s="9"/>
      <c r="S33"/>
      <c r="T33"/>
      <c r="U33"/>
      <c r="V33"/>
      <c r="W33"/>
      <c r="X33"/>
      <c r="Y33" s="16"/>
      <c r="Z33"/>
      <c r="AA33"/>
      <c r="AB33"/>
      <c r="AC33" s="17"/>
      <c r="AD33" s="23"/>
      <c r="AE33" s="23"/>
      <c r="AF33" s="23"/>
      <c r="AG33" s="23"/>
      <c r="AH33" s="23"/>
      <c r="AI33"/>
      <c r="AJ33"/>
      <c r="AO33"/>
      <c r="AP33" s="18"/>
    </row>
    <row r="34" spans="17:42">
      <c r="Q34" s="3"/>
      <c r="R34" s="9"/>
      <c r="S34"/>
      <c r="T34"/>
      <c r="U34"/>
      <c r="V34"/>
      <c r="W34"/>
      <c r="X34"/>
      <c r="Y34" s="16"/>
      <c r="Z34"/>
      <c r="AA34"/>
      <c r="AB34"/>
      <c r="AC34" s="17"/>
      <c r="AD34" s="23"/>
      <c r="AE34" s="23"/>
      <c r="AF34" s="23"/>
      <c r="AG34" s="23"/>
      <c r="AH34" s="23"/>
      <c r="AI34"/>
      <c r="AJ34"/>
      <c r="AO34"/>
      <c r="AP34" s="18"/>
    </row>
    <row r="35" spans="17:42">
      <c r="Q35" s="3"/>
      <c r="R35" s="9"/>
      <c r="S35"/>
      <c r="T35"/>
      <c r="U35"/>
      <c r="V35"/>
      <c r="W35"/>
      <c r="X35"/>
      <c r="Y35" s="16"/>
      <c r="Z35"/>
      <c r="AA35"/>
      <c r="AB35"/>
      <c r="AC35" s="17"/>
      <c r="AD35" s="23"/>
      <c r="AE35" s="23"/>
      <c r="AF35" s="23"/>
      <c r="AG35" s="23"/>
      <c r="AH35" s="23"/>
      <c r="AI35"/>
      <c r="AJ35"/>
      <c r="AO35"/>
      <c r="AP35" s="18"/>
    </row>
    <row r="36" spans="17:42">
      <c r="Q36" s="3"/>
      <c r="R36" s="9"/>
      <c r="S36"/>
      <c r="T36"/>
      <c r="U36"/>
      <c r="V36"/>
      <c r="W36"/>
      <c r="X36"/>
      <c r="Y36" s="16"/>
      <c r="Z36"/>
      <c r="AA36"/>
      <c r="AB36"/>
      <c r="AC36" s="17"/>
      <c r="AD36" s="23"/>
      <c r="AE36" s="23"/>
      <c r="AF36" s="23"/>
      <c r="AG36" s="23"/>
      <c r="AH36" s="23"/>
      <c r="AI36"/>
      <c r="AJ36"/>
    </row>
    <row r="37" spans="17:42">
      <c r="Q37" s="3"/>
      <c r="R37" s="9"/>
      <c r="S37"/>
      <c r="T37"/>
      <c r="U37"/>
      <c r="V37"/>
      <c r="W37"/>
      <c r="X37"/>
      <c r="Y37" s="16"/>
      <c r="Z37"/>
      <c r="AA37"/>
      <c r="AB37"/>
      <c r="AC37" s="17"/>
      <c r="AD37" s="23"/>
      <c r="AE37" s="23"/>
      <c r="AF37" s="23"/>
      <c r="AG37" s="23"/>
      <c r="AH37" s="23"/>
      <c r="AI37"/>
      <c r="AJ37"/>
    </row>
    <row r="38" spans="17:42">
      <c r="Q38" s="3"/>
      <c r="R38" s="9"/>
      <c r="S38"/>
      <c r="T38"/>
      <c r="U38"/>
      <c r="V38"/>
      <c r="W38"/>
      <c r="X38"/>
      <c r="Y38" s="16"/>
      <c r="Z38"/>
      <c r="AA38"/>
      <c r="AB38"/>
      <c r="AC38" s="17"/>
      <c r="AD38" s="23"/>
      <c r="AE38" s="23"/>
      <c r="AF38" s="23"/>
      <c r="AG38" s="23"/>
      <c r="AH38" s="23"/>
      <c r="AI38"/>
      <c r="AJ38"/>
    </row>
    <row r="39" spans="17:42">
      <c r="Q39" s="3"/>
      <c r="R39" s="9"/>
      <c r="S39"/>
      <c r="T39"/>
      <c r="U39"/>
      <c r="V39"/>
      <c r="W39"/>
      <c r="X39"/>
      <c r="Y39" s="16"/>
      <c r="Z39"/>
      <c r="AA39"/>
      <c r="AB39"/>
      <c r="AC39" s="17"/>
      <c r="AD39" s="23"/>
      <c r="AE39" s="23"/>
      <c r="AF39" s="23"/>
      <c r="AG39" s="23"/>
      <c r="AH39" s="23"/>
      <c r="AI39"/>
      <c r="AJ39"/>
    </row>
    <row r="40" spans="17:42">
      <c r="Q40" s="3"/>
      <c r="R40" s="9"/>
      <c r="S40"/>
      <c r="T40"/>
      <c r="U40"/>
      <c r="V40"/>
      <c r="W40"/>
      <c r="X40"/>
      <c r="Y40" s="16"/>
      <c r="Z40"/>
      <c r="AA40"/>
      <c r="AB40"/>
      <c r="AC40" s="17"/>
      <c r="AD40" s="23"/>
      <c r="AE40" s="23"/>
      <c r="AF40" s="23"/>
      <c r="AG40" s="23"/>
      <c r="AH40" s="23"/>
      <c r="AI40"/>
      <c r="AJ40"/>
    </row>
    <row r="41" spans="17:42">
      <c r="Q41" s="3"/>
      <c r="R41" s="9"/>
      <c r="S41"/>
      <c r="T41"/>
      <c r="U41"/>
      <c r="V41"/>
      <c r="W41"/>
      <c r="X41"/>
      <c r="Y41" s="16"/>
      <c r="Z41"/>
      <c r="AA41"/>
      <c r="AB41"/>
      <c r="AC41" s="17"/>
      <c r="AD41" s="23"/>
      <c r="AE41" s="23"/>
      <c r="AF41" s="23"/>
      <c r="AG41" s="23"/>
      <c r="AH41" s="23"/>
      <c r="AI41"/>
      <c r="AJ41"/>
    </row>
    <row r="42" spans="17:42">
      <c r="Q42" s="3"/>
      <c r="R42" s="9"/>
      <c r="S42"/>
      <c r="T42"/>
      <c r="U42"/>
      <c r="V42"/>
      <c r="W42"/>
      <c r="X42"/>
      <c r="Y42" s="16"/>
      <c r="Z42"/>
      <c r="AA42"/>
      <c r="AB42"/>
      <c r="AC42" s="17"/>
      <c r="AD42" s="23"/>
      <c r="AE42" s="23"/>
      <c r="AF42" s="23"/>
      <c r="AG42" s="23"/>
      <c r="AH42" s="23"/>
      <c r="AI42"/>
      <c r="AJ42"/>
    </row>
    <row r="43" spans="17:42">
      <c r="Q43" s="3"/>
      <c r="R43" s="9"/>
      <c r="S43"/>
      <c r="T43"/>
      <c r="U43"/>
      <c r="V43"/>
      <c r="W43"/>
      <c r="X43"/>
      <c r="Y43" s="16"/>
      <c r="Z43"/>
      <c r="AA43"/>
      <c r="AB43"/>
      <c r="AC43" s="17"/>
      <c r="AD43" s="23"/>
      <c r="AE43" s="23"/>
      <c r="AF43" s="23"/>
      <c r="AG43" s="23"/>
      <c r="AH43" s="23"/>
      <c r="AI43"/>
      <c r="AJ43"/>
    </row>
    <row r="44" spans="17:42">
      <c r="Q44" s="3"/>
      <c r="R44" s="9"/>
      <c r="S44"/>
      <c r="T44"/>
      <c r="U44"/>
      <c r="V44"/>
      <c r="W44"/>
      <c r="X44"/>
      <c r="Y44" s="16"/>
      <c r="Z44"/>
      <c r="AA44"/>
      <c r="AB44"/>
      <c r="AC44" s="17"/>
      <c r="AD44" s="23"/>
      <c r="AE44" s="23"/>
      <c r="AF44" s="23"/>
      <c r="AG44" s="23"/>
      <c r="AH44" s="23"/>
      <c r="AI44"/>
      <c r="AJ44"/>
    </row>
    <row r="45" spans="17:42">
      <c r="Q45" s="3"/>
      <c r="R45" s="9"/>
      <c r="S45"/>
      <c r="T45"/>
      <c r="U45"/>
      <c r="V45"/>
      <c r="W45"/>
      <c r="X45"/>
      <c r="Y45" s="16"/>
      <c r="Z45"/>
      <c r="AA45"/>
      <c r="AB45"/>
      <c r="AC45" s="17"/>
      <c r="AD45" s="23"/>
      <c r="AE45" s="23"/>
      <c r="AF45" s="23"/>
      <c r="AG45" s="23"/>
      <c r="AH45" s="23"/>
      <c r="AI45"/>
      <c r="AJ45"/>
    </row>
    <row r="46" spans="17:42">
      <c r="Q46" s="3"/>
      <c r="R46" s="9"/>
      <c r="S46"/>
      <c r="T46"/>
      <c r="U46"/>
      <c r="V46"/>
      <c r="W46"/>
      <c r="X46"/>
      <c r="Y46" s="16"/>
      <c r="Z46"/>
      <c r="AA46"/>
      <c r="AB46"/>
      <c r="AC46" s="17"/>
      <c r="AD46" s="23"/>
      <c r="AE46" s="23"/>
      <c r="AF46" s="23"/>
      <c r="AG46" s="23"/>
      <c r="AH46" s="23"/>
      <c r="AI46"/>
      <c r="AJ46"/>
    </row>
    <row r="47" spans="17:42">
      <c r="Q47" s="3"/>
      <c r="R47" s="9"/>
      <c r="S47"/>
      <c r="T47"/>
      <c r="U47"/>
      <c r="V47"/>
      <c r="W47"/>
      <c r="X47"/>
      <c r="Y47" s="16"/>
      <c r="Z47"/>
      <c r="AA47"/>
      <c r="AB47"/>
      <c r="AC47" s="17"/>
      <c r="AD47" s="23"/>
      <c r="AE47" s="23"/>
      <c r="AF47" s="23"/>
      <c r="AG47" s="23"/>
      <c r="AH47" s="23"/>
      <c r="AI47"/>
      <c r="AJ47"/>
    </row>
    <row r="48" spans="17:42">
      <c r="Q48" s="3"/>
      <c r="R48" s="9"/>
      <c r="S48"/>
      <c r="T48"/>
      <c r="U48"/>
      <c r="V48"/>
      <c r="W48"/>
      <c r="X48"/>
      <c r="Y48" s="16"/>
      <c r="Z48"/>
      <c r="AA48"/>
      <c r="AB48"/>
      <c r="AC48" s="17"/>
      <c r="AD48" s="23"/>
      <c r="AE48" s="23"/>
      <c r="AF48" s="23"/>
      <c r="AG48" s="23"/>
      <c r="AH48" s="23"/>
      <c r="AI48"/>
      <c r="AJ48"/>
    </row>
    <row r="49" spans="17:36">
      <c r="Q49" s="3"/>
      <c r="R49" s="9"/>
      <c r="S49"/>
      <c r="T49"/>
      <c r="U49"/>
      <c r="V49"/>
      <c r="W49"/>
      <c r="X49"/>
      <c r="Y49" s="16"/>
      <c r="Z49"/>
      <c r="AA49"/>
      <c r="AB49"/>
      <c r="AC49" s="17"/>
      <c r="AD49" s="23"/>
      <c r="AE49" s="23"/>
      <c r="AF49" s="23"/>
      <c r="AG49" s="23"/>
      <c r="AH49" s="23"/>
      <c r="AI49"/>
      <c r="AJ49"/>
    </row>
    <row r="50" spans="17:36">
      <c r="Q50" s="3"/>
      <c r="R50" s="9"/>
      <c r="S50"/>
      <c r="T50"/>
      <c r="U50"/>
      <c r="V50"/>
      <c r="W50"/>
      <c r="X50"/>
      <c r="Y50" s="16"/>
      <c r="Z50"/>
      <c r="AA50"/>
      <c r="AB50"/>
      <c r="AC50" s="17"/>
      <c r="AD50" s="23"/>
      <c r="AE50" s="23"/>
      <c r="AF50" s="23"/>
      <c r="AG50" s="23"/>
      <c r="AH50" s="23"/>
      <c r="AI50"/>
      <c r="AJ50"/>
    </row>
    <row r="51" spans="17:36">
      <c r="Q51" s="3"/>
      <c r="R51" s="9"/>
      <c r="S51"/>
      <c r="T51"/>
      <c r="U51"/>
      <c r="V51"/>
      <c r="W51"/>
      <c r="X51"/>
      <c r="Y51" s="16"/>
      <c r="Z51"/>
      <c r="AA51"/>
      <c r="AB51"/>
      <c r="AC51" s="17"/>
      <c r="AD51" s="23"/>
      <c r="AE51" s="23"/>
      <c r="AF51" s="23"/>
      <c r="AG51" s="23"/>
      <c r="AH51" s="23"/>
      <c r="AI51"/>
      <c r="AJ51"/>
    </row>
    <row r="52" spans="17:36">
      <c r="Q52" s="3"/>
      <c r="R52" s="9"/>
      <c r="S52"/>
      <c r="T52"/>
      <c r="U52"/>
      <c r="V52"/>
      <c r="W52"/>
      <c r="X52"/>
      <c r="Y52" s="16"/>
      <c r="Z52"/>
      <c r="AA52"/>
      <c r="AB52"/>
      <c r="AC52" s="17"/>
      <c r="AD52" s="23"/>
      <c r="AE52" s="23"/>
      <c r="AF52" s="23"/>
      <c r="AG52" s="23"/>
      <c r="AH52" s="23"/>
      <c r="AI52"/>
      <c r="AJ52"/>
    </row>
    <row r="53" spans="17:36">
      <c r="Q53" s="3"/>
      <c r="R53" s="9"/>
      <c r="S53"/>
      <c r="T53"/>
      <c r="U53"/>
      <c r="V53"/>
      <c r="W53"/>
      <c r="X53"/>
      <c r="Y53" s="16"/>
      <c r="Z53"/>
      <c r="AA53"/>
      <c r="AB53"/>
      <c r="AC53" s="17"/>
      <c r="AD53" s="23"/>
      <c r="AE53" s="23"/>
      <c r="AF53" s="23"/>
      <c r="AG53" s="23"/>
      <c r="AH53" s="23"/>
      <c r="AI53"/>
      <c r="AJ53"/>
    </row>
    <row r="54" spans="17:36">
      <c r="Q54" s="3"/>
      <c r="R54" s="9"/>
      <c r="S54"/>
      <c r="T54"/>
      <c r="U54"/>
      <c r="V54"/>
      <c r="W54"/>
      <c r="X54"/>
      <c r="Y54" s="16"/>
      <c r="Z54"/>
      <c r="AA54"/>
      <c r="AB54"/>
      <c r="AC54" s="17"/>
      <c r="AD54" s="23"/>
      <c r="AE54" s="23"/>
      <c r="AF54" s="23"/>
      <c r="AG54" s="23"/>
      <c r="AH54" s="23"/>
      <c r="AI54"/>
      <c r="AJ54"/>
    </row>
    <row r="55" spans="17:36">
      <c r="Q55" s="3"/>
      <c r="R55" s="9"/>
      <c r="S55"/>
      <c r="T55"/>
      <c r="U55"/>
      <c r="V55"/>
      <c r="W55"/>
      <c r="X55"/>
      <c r="Y55" s="16"/>
      <c r="Z55"/>
      <c r="AA55"/>
      <c r="AB55"/>
      <c r="AC55" s="17"/>
      <c r="AD55" s="23"/>
      <c r="AE55" s="23"/>
      <c r="AF55" s="23"/>
      <c r="AG55" s="23"/>
      <c r="AH55" s="23"/>
      <c r="AI55"/>
      <c r="AJ55"/>
    </row>
    <row r="56" spans="17:36">
      <c r="Q56" s="3"/>
      <c r="R56" s="9"/>
      <c r="S56"/>
      <c r="T56"/>
      <c r="U56"/>
      <c r="V56"/>
      <c r="W56"/>
      <c r="X56"/>
      <c r="Y56" s="16"/>
      <c r="Z56"/>
      <c r="AA56"/>
      <c r="AB56"/>
      <c r="AC56" s="17"/>
      <c r="AD56" s="23"/>
      <c r="AE56" s="23"/>
      <c r="AF56" s="23"/>
      <c r="AG56" s="23"/>
      <c r="AH56" s="23"/>
      <c r="AI56"/>
      <c r="AJ56"/>
    </row>
    <row r="57" spans="17:36">
      <c r="Q57" s="3"/>
      <c r="R57" s="9"/>
      <c r="S57"/>
      <c r="T57"/>
      <c r="U57"/>
      <c r="V57"/>
      <c r="W57"/>
      <c r="X57"/>
      <c r="Y57" s="16"/>
      <c r="Z57"/>
      <c r="AA57"/>
      <c r="AB57"/>
      <c r="AC57" s="17"/>
      <c r="AD57" s="23"/>
      <c r="AE57" s="23"/>
      <c r="AF57" s="23"/>
      <c r="AG57" s="23"/>
      <c r="AH57" s="23"/>
      <c r="AI57"/>
      <c r="AJ57"/>
    </row>
    <row r="58" spans="17:36">
      <c r="Q58" s="3"/>
      <c r="R58" s="9"/>
      <c r="S58"/>
      <c r="T58"/>
      <c r="U58"/>
      <c r="V58"/>
      <c r="W58"/>
      <c r="X58"/>
      <c r="Y58" s="16"/>
      <c r="Z58"/>
      <c r="AA58"/>
      <c r="AB58"/>
      <c r="AC58" s="17"/>
      <c r="AD58" s="23"/>
      <c r="AE58" s="23"/>
      <c r="AF58" s="23"/>
      <c r="AG58" s="23"/>
      <c r="AH58" s="23"/>
      <c r="AI58"/>
      <c r="AJ58"/>
    </row>
    <row r="59" spans="17:36">
      <c r="Q59" s="3"/>
      <c r="R59" s="9"/>
      <c r="S59"/>
      <c r="T59"/>
      <c r="U59"/>
      <c r="V59"/>
      <c r="W59"/>
      <c r="X59"/>
      <c r="Y59" s="16"/>
      <c r="Z59"/>
      <c r="AA59"/>
      <c r="AB59"/>
      <c r="AC59" s="17"/>
      <c r="AD59" s="23"/>
      <c r="AE59" s="23"/>
      <c r="AF59" s="23"/>
      <c r="AG59" s="23"/>
      <c r="AH59" s="23"/>
      <c r="AI59"/>
      <c r="AJ59"/>
    </row>
    <row r="60" spans="17:36">
      <c r="Q60" s="3"/>
      <c r="R60" s="9"/>
      <c r="S60"/>
      <c r="T60"/>
      <c r="U60"/>
      <c r="V60"/>
      <c r="W60"/>
      <c r="X60"/>
      <c r="Y60" s="16"/>
      <c r="Z60"/>
      <c r="AA60"/>
      <c r="AB60"/>
      <c r="AC60" s="17"/>
      <c r="AD60" s="23"/>
      <c r="AE60" s="23"/>
      <c r="AF60" s="23"/>
      <c r="AG60" s="23"/>
      <c r="AH60" s="23"/>
      <c r="AI60"/>
      <c r="AJ60"/>
    </row>
    <row r="61" spans="17:36">
      <c r="Q61" s="3"/>
      <c r="R61" s="9"/>
      <c r="S61"/>
      <c r="T61"/>
      <c r="U61"/>
      <c r="V61"/>
      <c r="W61"/>
      <c r="X61"/>
      <c r="Y61" s="16"/>
      <c r="Z61"/>
      <c r="AA61"/>
      <c r="AB61"/>
      <c r="AC61" s="17"/>
      <c r="AD61" s="23"/>
      <c r="AE61" s="23"/>
      <c r="AF61" s="23"/>
      <c r="AG61" s="23"/>
      <c r="AH61" s="23"/>
      <c r="AI61"/>
      <c r="AJ61"/>
    </row>
    <row r="62" spans="17:36">
      <c r="Q62" s="3"/>
      <c r="R62" s="9"/>
      <c r="S62"/>
      <c r="T62"/>
      <c r="U62"/>
      <c r="V62"/>
      <c r="W62"/>
      <c r="X62"/>
      <c r="Y62" s="16"/>
      <c r="Z62"/>
      <c r="AA62"/>
      <c r="AB62"/>
      <c r="AC62" s="17"/>
      <c r="AD62" s="23"/>
      <c r="AE62" s="23"/>
      <c r="AF62" s="23"/>
      <c r="AG62" s="23"/>
      <c r="AH62" s="23"/>
      <c r="AI62"/>
      <c r="AJ62"/>
    </row>
    <row r="63" spans="17:36">
      <c r="Q63" s="3"/>
      <c r="R63" s="9"/>
      <c r="S63"/>
      <c r="T63"/>
      <c r="U63"/>
      <c r="V63"/>
      <c r="W63"/>
      <c r="X63"/>
      <c r="Y63" s="16"/>
      <c r="Z63"/>
      <c r="AA63"/>
      <c r="AB63"/>
      <c r="AC63" s="17"/>
      <c r="AD63" s="23"/>
      <c r="AE63" s="23"/>
      <c r="AF63" s="23"/>
      <c r="AG63" s="23"/>
      <c r="AH63" s="23"/>
      <c r="AI63"/>
      <c r="AJ63"/>
    </row>
    <row r="64" spans="17:36">
      <c r="Q64" s="3"/>
      <c r="R64" s="9"/>
      <c r="S64"/>
      <c r="T64"/>
      <c r="U64"/>
      <c r="V64"/>
      <c r="W64"/>
      <c r="X64"/>
      <c r="Y64" s="16"/>
      <c r="Z64"/>
      <c r="AA64"/>
      <c r="AB64"/>
      <c r="AC64" s="17"/>
      <c r="AD64" s="23"/>
      <c r="AE64" s="23"/>
      <c r="AF64" s="23"/>
      <c r="AG64" s="23"/>
      <c r="AH64" s="23"/>
      <c r="AI64"/>
      <c r="AJ64"/>
    </row>
    <row r="65" spans="17:36">
      <c r="Q65" s="3"/>
      <c r="R65" s="9"/>
      <c r="S65"/>
      <c r="T65"/>
      <c r="U65"/>
      <c r="V65"/>
      <c r="W65"/>
      <c r="X65"/>
      <c r="Y65" s="16"/>
      <c r="Z65"/>
      <c r="AA65"/>
      <c r="AB65"/>
      <c r="AC65" s="17"/>
      <c r="AD65" s="23"/>
      <c r="AE65" s="23"/>
      <c r="AF65" s="23"/>
      <c r="AG65" s="23"/>
      <c r="AH65" s="23"/>
      <c r="AI65"/>
      <c r="AJ65"/>
    </row>
    <row r="66" spans="17:36">
      <c r="Q66" s="3"/>
      <c r="R66" s="9"/>
      <c r="S66"/>
      <c r="T66"/>
      <c r="U66"/>
      <c r="V66"/>
      <c r="W66"/>
      <c r="X66"/>
      <c r="Y66" s="16"/>
      <c r="Z66"/>
      <c r="AA66"/>
      <c r="AB66"/>
      <c r="AC66" s="17"/>
      <c r="AD66" s="23"/>
      <c r="AE66" s="23"/>
      <c r="AF66" s="23"/>
      <c r="AG66" s="23"/>
      <c r="AH66" s="23"/>
      <c r="AI66"/>
      <c r="AJ66"/>
    </row>
    <row r="67" spans="17:36">
      <c r="Q67" s="3"/>
      <c r="R67" s="9"/>
      <c r="S67"/>
      <c r="T67"/>
      <c r="U67"/>
      <c r="V67"/>
      <c r="W67"/>
      <c r="X67"/>
      <c r="Y67" s="16"/>
      <c r="Z67"/>
      <c r="AA67"/>
      <c r="AB67"/>
      <c r="AC67" s="17"/>
      <c r="AD67" s="23"/>
      <c r="AE67" s="23"/>
      <c r="AF67" s="23"/>
      <c r="AG67" s="23"/>
      <c r="AH67" s="23"/>
      <c r="AI67"/>
      <c r="AJ67"/>
    </row>
    <row r="68" spans="17:36">
      <c r="Q68" s="3"/>
      <c r="R68" s="9"/>
      <c r="S68"/>
      <c r="T68"/>
      <c r="U68"/>
      <c r="V68"/>
      <c r="W68"/>
      <c r="X68"/>
      <c r="Y68" s="16"/>
      <c r="Z68"/>
      <c r="AA68"/>
      <c r="AB68"/>
      <c r="AC68" s="17"/>
      <c r="AD68" s="23"/>
      <c r="AE68" s="23"/>
      <c r="AF68" s="23"/>
      <c r="AG68" s="23"/>
      <c r="AH68" s="23"/>
      <c r="AI68"/>
      <c r="AJ68"/>
    </row>
    <row r="69" spans="17:36">
      <c r="Q69" s="3"/>
      <c r="R69" s="9"/>
      <c r="S69"/>
      <c r="T69"/>
      <c r="U69"/>
      <c r="V69"/>
      <c r="W69"/>
      <c r="X69"/>
      <c r="Y69" s="16"/>
      <c r="Z69"/>
      <c r="AA69"/>
      <c r="AB69"/>
      <c r="AC69" s="17"/>
      <c r="AD69" s="23"/>
      <c r="AE69" s="23"/>
      <c r="AF69" s="23"/>
      <c r="AG69" s="23"/>
      <c r="AH69" s="23"/>
      <c r="AI69"/>
      <c r="AJ69"/>
    </row>
    <row r="70" spans="17:36">
      <c r="Q70" s="3"/>
      <c r="R70" s="9"/>
      <c r="S70"/>
      <c r="T70"/>
      <c r="U70"/>
      <c r="V70"/>
      <c r="W70"/>
      <c r="X70"/>
      <c r="Y70" s="16"/>
      <c r="Z70"/>
      <c r="AA70"/>
      <c r="AB70"/>
      <c r="AC70" s="17"/>
      <c r="AD70" s="23"/>
      <c r="AE70" s="23"/>
      <c r="AF70" s="23"/>
      <c r="AG70" s="23"/>
      <c r="AH70" s="23"/>
      <c r="AI70"/>
      <c r="AJ70"/>
    </row>
    <row r="71" spans="17:36">
      <c r="Q71" s="3"/>
      <c r="R71" s="9"/>
      <c r="S71"/>
      <c r="T71"/>
      <c r="U71"/>
      <c r="V71"/>
      <c r="W71"/>
      <c r="X71"/>
      <c r="Y71" s="16"/>
      <c r="Z71"/>
      <c r="AA71"/>
      <c r="AB71"/>
      <c r="AC71" s="17"/>
      <c r="AD71" s="23"/>
      <c r="AE71" s="23"/>
      <c r="AF71" s="23"/>
      <c r="AG71" s="23"/>
      <c r="AH71" s="23"/>
      <c r="AI71"/>
      <c r="AJ71"/>
    </row>
    <row r="72" spans="17:36">
      <c r="Q72" s="3"/>
      <c r="R72" s="9"/>
      <c r="S72"/>
      <c r="T72"/>
      <c r="U72"/>
      <c r="V72"/>
      <c r="W72"/>
      <c r="X72"/>
      <c r="Y72" s="16"/>
      <c r="Z72"/>
      <c r="AA72"/>
      <c r="AB72"/>
      <c r="AC72" s="17"/>
      <c r="AD72" s="23"/>
      <c r="AE72" s="23"/>
      <c r="AF72" s="23"/>
      <c r="AG72" s="23"/>
      <c r="AH72" s="23"/>
      <c r="AI72"/>
      <c r="AJ72"/>
    </row>
    <row r="73" spans="17:36">
      <c r="Q73" s="3"/>
      <c r="R73" s="9"/>
      <c r="S73"/>
      <c r="T73"/>
      <c r="U73"/>
      <c r="V73"/>
      <c r="W73"/>
      <c r="X73"/>
      <c r="Y73" s="16"/>
      <c r="Z73"/>
      <c r="AA73"/>
      <c r="AB73"/>
      <c r="AC73" s="17"/>
      <c r="AD73" s="23"/>
      <c r="AE73" s="23"/>
      <c r="AF73" s="23"/>
      <c r="AG73" s="23"/>
      <c r="AH73" s="23"/>
      <c r="AI73"/>
      <c r="AJ73"/>
    </row>
    <row r="74" spans="17:36">
      <c r="Q74" s="3"/>
      <c r="R74" s="9"/>
      <c r="S74"/>
      <c r="T74"/>
      <c r="U74"/>
      <c r="V74"/>
      <c r="W74"/>
      <c r="X74"/>
      <c r="Y74" s="16"/>
      <c r="Z74"/>
      <c r="AA74"/>
      <c r="AB74"/>
      <c r="AC74" s="17"/>
      <c r="AD74" s="23"/>
      <c r="AE74" s="23"/>
      <c r="AF74" s="23"/>
      <c r="AG74" s="23"/>
      <c r="AH74" s="23"/>
      <c r="AI74"/>
      <c r="AJ74"/>
    </row>
    <row r="75" spans="17:36">
      <c r="Q75" s="3"/>
      <c r="R75" s="9"/>
      <c r="S75"/>
      <c r="T75"/>
      <c r="U75"/>
      <c r="V75"/>
      <c r="W75"/>
      <c r="X75"/>
      <c r="Y75" s="16"/>
      <c r="Z75"/>
      <c r="AA75"/>
      <c r="AB75"/>
      <c r="AC75" s="17"/>
      <c r="AD75" s="23"/>
      <c r="AE75" s="23"/>
      <c r="AF75" s="23"/>
      <c r="AG75" s="23"/>
      <c r="AH75" s="23"/>
      <c r="AI75"/>
      <c r="AJ75"/>
    </row>
    <row r="76" spans="17:36">
      <c r="Q76" s="3"/>
      <c r="R76" s="9"/>
      <c r="S76"/>
      <c r="T76"/>
      <c r="U76"/>
      <c r="V76"/>
      <c r="W76"/>
      <c r="X76"/>
      <c r="Y76" s="16"/>
      <c r="Z76"/>
      <c r="AA76"/>
      <c r="AB76"/>
      <c r="AC76" s="17"/>
      <c r="AD76" s="23"/>
      <c r="AE76" s="23"/>
      <c r="AF76" s="23"/>
      <c r="AG76" s="23"/>
      <c r="AH76" s="23"/>
      <c r="AI76"/>
      <c r="AJ76"/>
    </row>
    <row r="77" spans="17:36">
      <c r="Q77" s="3"/>
      <c r="R77" s="9"/>
      <c r="S77"/>
      <c r="T77"/>
      <c r="U77"/>
      <c r="V77"/>
      <c r="W77"/>
      <c r="X77"/>
      <c r="Y77" s="16"/>
      <c r="Z77"/>
      <c r="AA77"/>
      <c r="AB77"/>
      <c r="AC77" s="17"/>
      <c r="AD77" s="23"/>
      <c r="AE77" s="23"/>
      <c r="AF77" s="23"/>
      <c r="AG77" s="23"/>
      <c r="AH77" s="23"/>
      <c r="AI77"/>
      <c r="AJ77"/>
    </row>
    <row r="78" spans="17:36">
      <c r="Q78" s="3"/>
      <c r="R78" s="9"/>
      <c r="S78"/>
      <c r="T78"/>
      <c r="U78"/>
      <c r="V78"/>
      <c r="W78"/>
      <c r="X78"/>
      <c r="Y78" s="16"/>
      <c r="Z78"/>
      <c r="AA78"/>
      <c r="AB78"/>
      <c r="AC78" s="17"/>
      <c r="AD78" s="23"/>
      <c r="AE78" s="23"/>
      <c r="AF78" s="23"/>
      <c r="AG78" s="23"/>
      <c r="AH78" s="23"/>
      <c r="AI78"/>
      <c r="AJ78"/>
    </row>
    <row r="79" spans="17:36">
      <c r="Q79" s="3"/>
      <c r="R79" s="9"/>
      <c r="S79"/>
      <c r="T79"/>
      <c r="U79"/>
      <c r="V79"/>
      <c r="W79"/>
      <c r="X79"/>
      <c r="Y79" s="16"/>
      <c r="Z79"/>
      <c r="AA79"/>
      <c r="AB79"/>
      <c r="AC79" s="17"/>
      <c r="AD79" s="23"/>
      <c r="AE79" s="23"/>
      <c r="AF79" s="23"/>
      <c r="AG79" s="23"/>
      <c r="AH79" s="23"/>
      <c r="AI79"/>
      <c r="AJ79"/>
    </row>
    <row r="80" spans="17:36">
      <c r="Q80" s="3"/>
      <c r="R80" s="9"/>
      <c r="S80"/>
      <c r="T80"/>
      <c r="U80"/>
      <c r="V80"/>
      <c r="W80"/>
      <c r="X80"/>
      <c r="Y80" s="16"/>
      <c r="Z80"/>
      <c r="AA80"/>
      <c r="AB80"/>
      <c r="AC80" s="17"/>
      <c r="AD80" s="23"/>
      <c r="AE80" s="23"/>
      <c r="AF80" s="23"/>
      <c r="AG80" s="23"/>
      <c r="AH80" s="23"/>
      <c r="AI80"/>
      <c r="AJ80"/>
    </row>
    <row r="81" spans="17:36">
      <c r="Q81" s="3"/>
      <c r="R81" s="9"/>
      <c r="S81"/>
      <c r="T81"/>
      <c r="U81"/>
      <c r="V81"/>
      <c r="W81"/>
      <c r="X81"/>
      <c r="Y81" s="16"/>
      <c r="Z81"/>
      <c r="AA81"/>
      <c r="AB81"/>
      <c r="AC81" s="17"/>
      <c r="AD81" s="23"/>
      <c r="AE81" s="23"/>
      <c r="AF81" s="23"/>
      <c r="AG81" s="23"/>
      <c r="AH81" s="23"/>
      <c r="AI81"/>
      <c r="AJ81"/>
    </row>
    <row r="82" spans="17:36">
      <c r="Q82" s="3"/>
      <c r="R82" s="9"/>
      <c r="S82"/>
      <c r="T82"/>
      <c r="U82"/>
      <c r="V82"/>
      <c r="W82"/>
      <c r="X82"/>
      <c r="Y82" s="16"/>
      <c r="Z82"/>
      <c r="AA82"/>
      <c r="AB82"/>
      <c r="AC82" s="17"/>
      <c r="AD82" s="23"/>
      <c r="AE82" s="23"/>
      <c r="AF82" s="23"/>
      <c r="AG82" s="23"/>
      <c r="AH82" s="23"/>
      <c r="AI82"/>
      <c r="AJ82"/>
    </row>
    <row r="83" spans="17:36">
      <c r="Q83" s="3"/>
      <c r="R83" s="9"/>
      <c r="S83"/>
      <c r="T83"/>
      <c r="U83"/>
      <c r="V83"/>
      <c r="W83"/>
      <c r="X83"/>
      <c r="Y83" s="16"/>
      <c r="Z83"/>
      <c r="AA83"/>
      <c r="AB83"/>
      <c r="AC83" s="17"/>
      <c r="AD83" s="23"/>
      <c r="AE83" s="23"/>
      <c r="AF83" s="23"/>
      <c r="AG83" s="23"/>
      <c r="AH83" s="23"/>
      <c r="AI83"/>
      <c r="AJ83"/>
    </row>
    <row r="84" spans="17:36">
      <c r="Q84" s="3"/>
      <c r="R84" s="9"/>
      <c r="S84"/>
      <c r="T84"/>
      <c r="U84"/>
      <c r="V84"/>
      <c r="W84"/>
      <c r="X84"/>
      <c r="Y84" s="16"/>
      <c r="Z84"/>
      <c r="AA84"/>
      <c r="AB84"/>
      <c r="AC84" s="17"/>
      <c r="AD84" s="23"/>
      <c r="AE84" s="23"/>
      <c r="AF84" s="23"/>
      <c r="AG84" s="23"/>
      <c r="AH84" s="23"/>
      <c r="AI84"/>
      <c r="AJ84"/>
    </row>
    <row r="85" spans="17:36">
      <c r="Q85" s="3"/>
      <c r="R85" s="9"/>
      <c r="S85"/>
      <c r="T85"/>
      <c r="U85"/>
      <c r="V85"/>
      <c r="W85"/>
      <c r="X85"/>
      <c r="Y85" s="16"/>
      <c r="Z85"/>
      <c r="AA85"/>
      <c r="AB85"/>
      <c r="AC85" s="17"/>
      <c r="AD85" s="23"/>
      <c r="AE85" s="23"/>
      <c r="AF85" s="23"/>
      <c r="AG85" s="23"/>
      <c r="AH85" s="23"/>
      <c r="AI85"/>
      <c r="AJ85"/>
    </row>
    <row r="86" spans="17:36">
      <c r="Q86" s="3"/>
      <c r="R86" s="9"/>
      <c r="S86"/>
      <c r="T86"/>
      <c r="U86"/>
      <c r="V86"/>
      <c r="W86"/>
      <c r="X86"/>
      <c r="Y86" s="16"/>
      <c r="Z86"/>
      <c r="AA86"/>
      <c r="AB86"/>
      <c r="AC86" s="17"/>
      <c r="AD86" s="23"/>
      <c r="AE86" s="23"/>
      <c r="AF86" s="23"/>
      <c r="AG86" s="23"/>
      <c r="AH86" s="23"/>
      <c r="AI86"/>
      <c r="AJ86"/>
    </row>
    <row r="87" spans="17:36">
      <c r="Q87" s="3"/>
      <c r="R87" s="9"/>
      <c r="S87"/>
      <c r="T87"/>
      <c r="U87"/>
      <c r="V87"/>
      <c r="W87"/>
      <c r="X87"/>
      <c r="Y87" s="16"/>
      <c r="Z87"/>
      <c r="AA87"/>
      <c r="AB87"/>
      <c r="AC87" s="17"/>
      <c r="AD87" s="23"/>
      <c r="AE87" s="23"/>
      <c r="AF87" s="23"/>
      <c r="AG87" s="23"/>
      <c r="AH87" s="23"/>
      <c r="AI87"/>
      <c r="AJ87"/>
    </row>
    <row r="88" spans="17:36">
      <c r="Q88" s="3"/>
      <c r="R88" s="9"/>
      <c r="S88"/>
      <c r="T88"/>
      <c r="U88"/>
      <c r="V88"/>
      <c r="W88"/>
      <c r="X88"/>
      <c r="Y88" s="16"/>
      <c r="Z88"/>
      <c r="AA88"/>
      <c r="AB88"/>
      <c r="AC88" s="17"/>
      <c r="AD88" s="23"/>
      <c r="AE88" s="23"/>
      <c r="AF88" s="23"/>
      <c r="AG88" s="23"/>
      <c r="AH88" s="23"/>
      <c r="AI88"/>
      <c r="AJ88"/>
    </row>
    <row r="89" spans="17:36">
      <c r="Q89" s="3"/>
      <c r="R89" s="9"/>
      <c r="S89"/>
      <c r="T89"/>
      <c r="U89"/>
      <c r="V89"/>
      <c r="W89"/>
      <c r="X89"/>
      <c r="Y89" s="16"/>
      <c r="Z89"/>
      <c r="AA89"/>
      <c r="AB89"/>
      <c r="AC89" s="17"/>
      <c r="AD89" s="23"/>
      <c r="AE89" s="23"/>
      <c r="AF89" s="23"/>
      <c r="AG89" s="23"/>
      <c r="AH89" s="23"/>
      <c r="AI89"/>
      <c r="AJ89"/>
    </row>
    <row r="90" spans="17:36">
      <c r="Q90" s="3"/>
      <c r="R90" s="9"/>
      <c r="S90"/>
      <c r="T90"/>
      <c r="U90"/>
      <c r="V90"/>
      <c r="W90"/>
      <c r="X90"/>
      <c r="Y90" s="16"/>
      <c r="Z90"/>
      <c r="AA90"/>
      <c r="AB90"/>
      <c r="AC90" s="17"/>
      <c r="AD90" s="23"/>
      <c r="AE90" s="23"/>
      <c r="AF90" s="23"/>
      <c r="AG90" s="23"/>
      <c r="AH90" s="23"/>
      <c r="AI90"/>
      <c r="AJ90"/>
    </row>
    <row r="91" spans="17:36">
      <c r="Q91" s="3"/>
      <c r="R91" s="9"/>
      <c r="S91"/>
      <c r="T91"/>
      <c r="U91"/>
      <c r="V91"/>
      <c r="W91"/>
      <c r="X91"/>
      <c r="Y91" s="16"/>
      <c r="Z91"/>
      <c r="AA91"/>
      <c r="AB91"/>
      <c r="AC91" s="17"/>
      <c r="AD91" s="23"/>
      <c r="AE91" s="23"/>
      <c r="AF91" s="23"/>
      <c r="AG91" s="23"/>
      <c r="AH91" s="23"/>
      <c r="AI91"/>
      <c r="AJ91"/>
    </row>
    <row r="92" spans="17:36">
      <c r="Q92" s="3"/>
      <c r="R92" s="9"/>
      <c r="S92"/>
      <c r="T92"/>
      <c r="U92"/>
      <c r="V92"/>
      <c r="W92"/>
      <c r="X92"/>
      <c r="Y92" s="16"/>
      <c r="Z92"/>
      <c r="AA92"/>
      <c r="AB92"/>
      <c r="AC92" s="17"/>
      <c r="AD92" s="23"/>
      <c r="AE92" s="23"/>
      <c r="AF92" s="23"/>
      <c r="AG92" s="23"/>
      <c r="AH92" s="23"/>
      <c r="AI92"/>
      <c r="AJ92"/>
    </row>
    <row r="93" spans="17:36">
      <c r="Q93" s="3"/>
      <c r="R93" s="9"/>
      <c r="S93"/>
      <c r="T93"/>
      <c r="U93"/>
      <c r="V93"/>
      <c r="W93"/>
      <c r="X93"/>
      <c r="Y93" s="16"/>
      <c r="Z93"/>
      <c r="AA93"/>
      <c r="AB93"/>
      <c r="AC93" s="17"/>
      <c r="AD93" s="23"/>
      <c r="AE93" s="23"/>
      <c r="AF93" s="23"/>
      <c r="AG93" s="23"/>
      <c r="AH93" s="23"/>
      <c r="AI93"/>
      <c r="AJ93"/>
    </row>
    <row r="94" spans="17:36">
      <c r="Q94" s="3"/>
      <c r="R94" s="9"/>
      <c r="S94"/>
      <c r="T94"/>
      <c r="U94"/>
      <c r="V94"/>
      <c r="W94"/>
      <c r="X94"/>
      <c r="Y94" s="16"/>
      <c r="Z94"/>
      <c r="AA94"/>
      <c r="AB94"/>
      <c r="AC94" s="17"/>
      <c r="AD94" s="23"/>
      <c r="AE94" s="23"/>
      <c r="AF94" s="23"/>
      <c r="AG94" s="23"/>
      <c r="AH94" s="23"/>
      <c r="AI94"/>
      <c r="AJ94"/>
    </row>
    <row r="95" spans="17:36">
      <c r="Q95" s="3"/>
      <c r="R95" s="9"/>
      <c r="S95"/>
      <c r="T95"/>
      <c r="U95"/>
      <c r="V95"/>
      <c r="W95"/>
      <c r="X95"/>
      <c r="Y95" s="16"/>
      <c r="Z95"/>
      <c r="AA95"/>
      <c r="AB95"/>
      <c r="AC95" s="17"/>
      <c r="AD95" s="23"/>
      <c r="AE95" s="23"/>
      <c r="AF95" s="23"/>
      <c r="AG95" s="23"/>
      <c r="AH95" s="23"/>
      <c r="AI95"/>
      <c r="AJ95"/>
    </row>
    <row r="96" spans="17:36">
      <c r="Q96" s="3"/>
      <c r="R96" s="9"/>
      <c r="S96"/>
      <c r="T96"/>
      <c r="U96"/>
      <c r="V96"/>
      <c r="W96"/>
      <c r="X96"/>
      <c r="Y96" s="16"/>
      <c r="Z96"/>
      <c r="AA96"/>
      <c r="AB96"/>
      <c r="AC96" s="17"/>
      <c r="AD96" s="23"/>
      <c r="AE96" s="23"/>
      <c r="AF96" s="23"/>
      <c r="AG96" s="23"/>
      <c r="AH96" s="23"/>
      <c r="AI96"/>
      <c r="AJ96"/>
    </row>
    <row r="97" spans="17:36">
      <c r="Q97" s="3"/>
      <c r="R97" s="9"/>
      <c r="S97"/>
      <c r="T97"/>
      <c r="U97"/>
      <c r="V97"/>
      <c r="W97"/>
      <c r="X97"/>
      <c r="Y97" s="16"/>
      <c r="Z97"/>
      <c r="AA97"/>
      <c r="AB97"/>
      <c r="AC97" s="17"/>
      <c r="AD97" s="23"/>
      <c r="AE97" s="23"/>
      <c r="AF97" s="23"/>
      <c r="AG97" s="23"/>
      <c r="AH97" s="23"/>
      <c r="AI97"/>
      <c r="AJ97"/>
    </row>
    <row r="98" spans="17:36">
      <c r="Q98" s="3"/>
      <c r="R98" s="9"/>
      <c r="S98"/>
      <c r="T98"/>
      <c r="U98"/>
      <c r="V98"/>
      <c r="W98"/>
      <c r="X98"/>
      <c r="Y98" s="16"/>
      <c r="Z98"/>
      <c r="AA98"/>
      <c r="AB98"/>
      <c r="AC98" s="17"/>
      <c r="AD98" s="23"/>
      <c r="AE98" s="23"/>
      <c r="AF98" s="23"/>
      <c r="AG98" s="23"/>
      <c r="AH98" s="23"/>
      <c r="AI98"/>
      <c r="AJ98"/>
    </row>
    <row r="99" spans="17:36">
      <c r="Q99" s="3"/>
      <c r="R99" s="9"/>
      <c r="S99"/>
      <c r="T99"/>
      <c r="U99"/>
      <c r="V99"/>
      <c r="W99"/>
      <c r="X99"/>
      <c r="Y99" s="16"/>
      <c r="Z99"/>
      <c r="AA99"/>
      <c r="AB99"/>
      <c r="AC99" s="17"/>
      <c r="AD99" s="23"/>
      <c r="AE99" s="23"/>
      <c r="AF99" s="23"/>
      <c r="AG99" s="23"/>
      <c r="AH99" s="23"/>
      <c r="AI99"/>
      <c r="AJ99"/>
    </row>
    <row r="100" spans="17:36">
      <c r="Q100" s="3"/>
      <c r="R100" s="9"/>
      <c r="S100"/>
      <c r="T100"/>
      <c r="U100"/>
      <c r="V100"/>
      <c r="W100"/>
      <c r="X100"/>
      <c r="Y100" s="16"/>
      <c r="Z100"/>
      <c r="AA100"/>
      <c r="AB100"/>
      <c r="AC100" s="17"/>
      <c r="AD100" s="23"/>
      <c r="AE100" s="23"/>
      <c r="AF100" s="23"/>
      <c r="AG100" s="23"/>
      <c r="AH100" s="23"/>
      <c r="AI100"/>
      <c r="AJ100"/>
    </row>
    <row r="101" spans="17:36">
      <c r="Q101" s="3"/>
      <c r="R101" s="9"/>
      <c r="S101"/>
      <c r="T101"/>
      <c r="U101"/>
      <c r="V101"/>
      <c r="W101"/>
      <c r="X101"/>
      <c r="Y101" s="16"/>
      <c r="Z101"/>
      <c r="AA101"/>
      <c r="AB101"/>
      <c r="AC101" s="17"/>
      <c r="AD101" s="23"/>
      <c r="AE101" s="23"/>
      <c r="AF101" s="23"/>
      <c r="AG101" s="23"/>
      <c r="AH101" s="23"/>
      <c r="AI101"/>
      <c r="AJ101"/>
    </row>
    <row r="102" spans="17:36">
      <c r="Q102" s="3"/>
      <c r="R102" s="9"/>
      <c r="S102"/>
      <c r="T102"/>
      <c r="U102"/>
      <c r="V102"/>
      <c r="W102"/>
      <c r="X102"/>
      <c r="Y102" s="16"/>
      <c r="Z102"/>
      <c r="AA102"/>
      <c r="AB102"/>
      <c r="AC102" s="17"/>
      <c r="AD102" s="23"/>
      <c r="AE102" s="23"/>
      <c r="AF102" s="23"/>
      <c r="AG102" s="23"/>
      <c r="AH102" s="23"/>
      <c r="AI102"/>
      <c r="AJ102"/>
    </row>
    <row r="103" spans="17:36">
      <c r="Q103" s="3"/>
      <c r="R103" s="9"/>
      <c r="S103"/>
      <c r="T103"/>
      <c r="U103"/>
      <c r="V103"/>
      <c r="W103"/>
      <c r="X103"/>
      <c r="Y103" s="16"/>
      <c r="Z103"/>
      <c r="AA103"/>
      <c r="AB103"/>
      <c r="AC103" s="17"/>
      <c r="AD103" s="23"/>
      <c r="AE103" s="23"/>
      <c r="AF103" s="23"/>
      <c r="AG103" s="23"/>
      <c r="AH103" s="23"/>
      <c r="AI103"/>
      <c r="AJ103"/>
    </row>
    <row r="104" spans="17:36">
      <c r="Q104" s="3"/>
      <c r="R104" s="9"/>
      <c r="S104"/>
      <c r="T104"/>
      <c r="U104"/>
      <c r="V104"/>
      <c r="W104"/>
      <c r="X104"/>
      <c r="Y104" s="16"/>
      <c r="Z104"/>
      <c r="AA104"/>
      <c r="AB104"/>
      <c r="AC104" s="17"/>
      <c r="AD104" s="23"/>
      <c r="AE104" s="23"/>
      <c r="AF104" s="23"/>
      <c r="AG104" s="23"/>
      <c r="AH104" s="23"/>
      <c r="AI104"/>
      <c r="AJ104"/>
    </row>
    <row r="105" spans="17:36">
      <c r="Q105" s="3"/>
      <c r="R105" s="9"/>
      <c r="S105"/>
      <c r="T105"/>
      <c r="U105"/>
      <c r="V105"/>
      <c r="W105"/>
      <c r="X105"/>
      <c r="Y105" s="16"/>
      <c r="Z105"/>
      <c r="AA105"/>
      <c r="AB105"/>
      <c r="AC105" s="17"/>
      <c r="AD105" s="23"/>
      <c r="AE105" s="23"/>
      <c r="AF105" s="23"/>
      <c r="AG105" s="23"/>
      <c r="AH105" s="23"/>
      <c r="AI105"/>
      <c r="AJ105"/>
    </row>
    <row r="106" spans="17:36">
      <c r="Q106" s="3"/>
      <c r="R106" s="9"/>
      <c r="S106"/>
      <c r="T106"/>
      <c r="U106"/>
      <c r="V106"/>
      <c r="W106"/>
      <c r="X106"/>
      <c r="Y106" s="16"/>
      <c r="Z106"/>
      <c r="AA106"/>
      <c r="AB106"/>
      <c r="AC106" s="17"/>
      <c r="AD106" s="23"/>
      <c r="AE106" s="23"/>
      <c r="AF106" s="23"/>
      <c r="AG106" s="23"/>
      <c r="AH106" s="23"/>
      <c r="AI106"/>
      <c r="AJ106"/>
    </row>
    <row r="107" spans="17:36">
      <c r="Q107" s="3"/>
      <c r="R107" s="9"/>
      <c r="S107"/>
      <c r="T107"/>
      <c r="U107"/>
      <c r="V107"/>
      <c r="W107"/>
      <c r="X107"/>
      <c r="Y107" s="16"/>
      <c r="Z107"/>
      <c r="AA107"/>
      <c r="AB107"/>
      <c r="AC107" s="17"/>
      <c r="AD107" s="23"/>
      <c r="AE107" s="23"/>
      <c r="AF107" s="23"/>
      <c r="AG107" s="23"/>
      <c r="AH107" s="23"/>
      <c r="AI107"/>
      <c r="AJ107"/>
    </row>
    <row r="108" spans="17:36">
      <c r="Q108" s="3"/>
      <c r="R108" s="9"/>
      <c r="S108"/>
      <c r="T108"/>
      <c r="U108"/>
      <c r="V108"/>
      <c r="W108"/>
      <c r="X108"/>
      <c r="Y108" s="16"/>
      <c r="Z108"/>
      <c r="AA108"/>
      <c r="AB108"/>
      <c r="AC108" s="17"/>
      <c r="AD108" s="23"/>
      <c r="AE108" s="23"/>
      <c r="AF108" s="23"/>
      <c r="AG108" s="23"/>
      <c r="AH108" s="23"/>
      <c r="AI108"/>
      <c r="AJ108"/>
    </row>
    <row r="109" spans="17:36">
      <c r="Q109" s="3"/>
      <c r="R109" s="9"/>
      <c r="S109"/>
      <c r="T109"/>
      <c r="U109"/>
      <c r="V109"/>
      <c r="W109"/>
      <c r="X109"/>
      <c r="Y109" s="16"/>
      <c r="Z109"/>
      <c r="AA109"/>
      <c r="AB109"/>
      <c r="AC109" s="17"/>
      <c r="AD109" s="23"/>
      <c r="AE109" s="23"/>
      <c r="AF109" s="23"/>
      <c r="AG109" s="23"/>
      <c r="AH109" s="23"/>
      <c r="AI109"/>
      <c r="AJ109"/>
    </row>
    <row r="110" spans="17:36">
      <c r="Q110" s="3"/>
      <c r="R110" s="9"/>
      <c r="S110"/>
      <c r="T110"/>
      <c r="U110"/>
      <c r="V110"/>
      <c r="W110"/>
      <c r="X110"/>
      <c r="Y110" s="16"/>
      <c r="Z110"/>
      <c r="AA110"/>
      <c r="AB110"/>
      <c r="AC110" s="17"/>
      <c r="AD110" s="23"/>
      <c r="AE110" s="23"/>
      <c r="AF110" s="23"/>
      <c r="AG110" s="23"/>
      <c r="AH110" s="23"/>
      <c r="AI110"/>
      <c r="AJ110"/>
    </row>
    <row r="111" spans="17:36">
      <c r="Q111" s="3"/>
      <c r="R111" s="9"/>
      <c r="S111"/>
      <c r="T111"/>
      <c r="U111"/>
      <c r="V111"/>
      <c r="W111"/>
      <c r="X111"/>
      <c r="Y111" s="16"/>
      <c r="Z111"/>
      <c r="AA111"/>
      <c r="AB111"/>
      <c r="AC111" s="17"/>
      <c r="AD111" s="23"/>
      <c r="AE111" s="23"/>
      <c r="AF111" s="23"/>
      <c r="AG111" s="23"/>
      <c r="AH111" s="23"/>
      <c r="AI111"/>
      <c r="AJ111"/>
    </row>
    <row r="112" spans="17:36">
      <c r="Q112" s="3"/>
      <c r="R112" s="9"/>
      <c r="S112"/>
      <c r="T112"/>
      <c r="U112"/>
      <c r="V112"/>
      <c r="W112"/>
      <c r="X112"/>
      <c r="Y112" s="16"/>
      <c r="Z112"/>
      <c r="AA112"/>
      <c r="AB112"/>
      <c r="AC112" s="17"/>
      <c r="AD112" s="23"/>
      <c r="AE112" s="23"/>
      <c r="AF112" s="23"/>
      <c r="AG112" s="23"/>
      <c r="AH112" s="23"/>
      <c r="AI112"/>
      <c r="AJ112"/>
    </row>
    <row r="113" spans="17:36">
      <c r="Q113" s="3"/>
      <c r="R113" s="9"/>
      <c r="S113"/>
      <c r="T113"/>
      <c r="U113"/>
      <c r="V113"/>
      <c r="W113"/>
      <c r="X113"/>
      <c r="Y113" s="16"/>
      <c r="Z113"/>
      <c r="AA113"/>
      <c r="AB113"/>
      <c r="AC113" s="17"/>
      <c r="AD113" s="23"/>
      <c r="AE113" s="23"/>
      <c r="AF113" s="23"/>
      <c r="AG113" s="23"/>
      <c r="AH113" s="23"/>
      <c r="AI113"/>
      <c r="AJ113"/>
    </row>
    <row r="114" spans="17:36">
      <c r="Q114" s="3"/>
      <c r="R114" s="9"/>
      <c r="S114"/>
      <c r="T114"/>
      <c r="U114"/>
      <c r="V114"/>
      <c r="W114"/>
      <c r="X114"/>
      <c r="Y114" s="16"/>
      <c r="Z114"/>
      <c r="AA114"/>
      <c r="AB114"/>
      <c r="AC114" s="17"/>
      <c r="AD114" s="23"/>
      <c r="AE114" s="23"/>
      <c r="AF114" s="23"/>
      <c r="AG114" s="23"/>
      <c r="AH114" s="23"/>
      <c r="AI114"/>
      <c r="AJ114"/>
    </row>
    <row r="115" spans="17:36">
      <c r="Q115" s="3"/>
      <c r="R115" s="9"/>
      <c r="S115"/>
      <c r="T115"/>
      <c r="U115"/>
      <c r="V115"/>
      <c r="W115"/>
      <c r="X115"/>
      <c r="Y115" s="16"/>
      <c r="Z115"/>
      <c r="AA115"/>
      <c r="AB115"/>
      <c r="AC115" s="17"/>
      <c r="AD115" s="23"/>
      <c r="AE115" s="23"/>
      <c r="AF115" s="23"/>
      <c r="AG115" s="23"/>
      <c r="AH115" s="23"/>
      <c r="AI115"/>
      <c r="AJ115"/>
    </row>
    <row r="116" spans="17:36">
      <c r="Q116" s="3"/>
      <c r="R116" s="9"/>
      <c r="S116"/>
      <c r="T116"/>
      <c r="U116"/>
      <c r="V116"/>
      <c r="W116"/>
      <c r="X116"/>
      <c r="Y116" s="16"/>
      <c r="Z116"/>
      <c r="AA116"/>
      <c r="AB116"/>
      <c r="AC116" s="17"/>
      <c r="AD116" s="23"/>
      <c r="AE116" s="23"/>
      <c r="AF116" s="23"/>
      <c r="AG116" s="23"/>
      <c r="AH116" s="23"/>
      <c r="AI116"/>
      <c r="AJ116"/>
    </row>
    <row r="117" spans="17:36">
      <c r="Q117" s="3"/>
      <c r="R117" s="9"/>
      <c r="S117"/>
      <c r="T117"/>
      <c r="U117"/>
      <c r="V117"/>
      <c r="W117"/>
      <c r="X117"/>
      <c r="Y117" s="16"/>
      <c r="Z117"/>
      <c r="AA117"/>
      <c r="AB117"/>
      <c r="AC117" s="17"/>
      <c r="AD117" s="23"/>
      <c r="AE117" s="23"/>
      <c r="AF117" s="23"/>
      <c r="AG117" s="23"/>
      <c r="AH117" s="23"/>
      <c r="AI117"/>
      <c r="AJ117"/>
    </row>
    <row r="118" spans="17:36">
      <c r="Q118" s="3"/>
      <c r="R118" s="9"/>
      <c r="S118"/>
      <c r="T118"/>
      <c r="U118"/>
      <c r="V118"/>
      <c r="W118"/>
      <c r="X118"/>
      <c r="Y118" s="16"/>
      <c r="Z118"/>
      <c r="AA118"/>
      <c r="AB118"/>
      <c r="AC118" s="17"/>
      <c r="AD118" s="23"/>
      <c r="AE118" s="23"/>
      <c r="AF118" s="23"/>
      <c r="AG118" s="23"/>
      <c r="AH118" s="23"/>
      <c r="AI118"/>
      <c r="AJ118"/>
    </row>
    <row r="119" spans="17:36">
      <c r="Q119" s="3"/>
      <c r="R119" s="9"/>
      <c r="S119"/>
      <c r="T119"/>
      <c r="U119"/>
      <c r="V119"/>
      <c r="W119"/>
      <c r="X119"/>
      <c r="Y119" s="16"/>
      <c r="Z119"/>
      <c r="AA119"/>
      <c r="AB119"/>
      <c r="AC119" s="17"/>
      <c r="AD119" s="23"/>
      <c r="AE119" s="23"/>
      <c r="AF119" s="23"/>
      <c r="AG119" s="23"/>
      <c r="AH119" s="23"/>
      <c r="AI119"/>
      <c r="AJ119"/>
    </row>
    <row r="120" spans="17:36">
      <c r="Q120" s="3"/>
      <c r="R120" s="9"/>
      <c r="S120"/>
      <c r="T120"/>
      <c r="U120"/>
      <c r="V120"/>
      <c r="W120"/>
      <c r="X120"/>
      <c r="Y120" s="16"/>
      <c r="Z120"/>
      <c r="AA120"/>
      <c r="AB120"/>
      <c r="AC120" s="17"/>
      <c r="AD120" s="23"/>
      <c r="AE120" s="23"/>
      <c r="AF120" s="23"/>
      <c r="AG120" s="23"/>
      <c r="AH120" s="23"/>
      <c r="AI120"/>
      <c r="AJ120"/>
    </row>
    <row r="121" spans="17:36">
      <c r="Q121" s="3"/>
      <c r="R121" s="9"/>
      <c r="S121"/>
      <c r="T121"/>
      <c r="U121"/>
      <c r="V121"/>
      <c r="W121"/>
      <c r="X121"/>
      <c r="Y121" s="16"/>
      <c r="Z121"/>
      <c r="AA121"/>
      <c r="AB121"/>
      <c r="AC121" s="17"/>
      <c r="AD121" s="23"/>
      <c r="AE121" s="23"/>
      <c r="AF121" s="23"/>
      <c r="AG121" s="23"/>
      <c r="AH121" s="23"/>
      <c r="AI121"/>
      <c r="AJ121"/>
    </row>
    <row r="122" spans="17:36">
      <c r="Q122" s="3"/>
      <c r="R122" s="9"/>
      <c r="S122"/>
      <c r="T122"/>
      <c r="U122"/>
      <c r="V122"/>
      <c r="W122"/>
      <c r="X122"/>
      <c r="Y122" s="16"/>
      <c r="Z122"/>
      <c r="AA122"/>
      <c r="AB122"/>
      <c r="AC122" s="17"/>
      <c r="AD122" s="23"/>
      <c r="AE122" s="23"/>
      <c r="AF122" s="23"/>
      <c r="AG122" s="23"/>
      <c r="AH122" s="23"/>
      <c r="AI122"/>
      <c r="AJ122"/>
    </row>
    <row r="123" spans="17:36">
      <c r="Q123" s="3"/>
      <c r="S123" s="2"/>
      <c r="AD123" s="24"/>
      <c r="AE123" s="24"/>
      <c r="AF123" s="24"/>
      <c r="AG123" s="23"/>
      <c r="AH123" s="23"/>
      <c r="AI123"/>
      <c r="AJ123"/>
    </row>
    <row r="124" spans="17:36">
      <c r="Q124" s="3"/>
      <c r="S124" s="2"/>
      <c r="AD124" s="24"/>
      <c r="AE124" s="24"/>
      <c r="AF124" s="24"/>
      <c r="AG124" s="23"/>
      <c r="AH124" s="23"/>
      <c r="AI124"/>
      <c r="AJ124"/>
    </row>
    <row r="125" spans="17:36">
      <c r="Q125" s="3"/>
      <c r="S125" s="2"/>
      <c r="AD125" s="24"/>
      <c r="AE125" s="24"/>
      <c r="AF125" s="24"/>
      <c r="AG125" s="23"/>
      <c r="AH125" s="23"/>
      <c r="AI125"/>
      <c r="AJ125"/>
    </row>
    <row r="126" spans="17:36">
      <c r="Q126" s="3"/>
      <c r="S126" s="2"/>
      <c r="AD126" s="24"/>
      <c r="AE126" s="24"/>
      <c r="AF126" s="24"/>
      <c r="AG126" s="23"/>
      <c r="AH126" s="23"/>
      <c r="AI126"/>
      <c r="AJ126"/>
    </row>
    <row r="127" spans="17:36">
      <c r="Q127" s="3"/>
      <c r="S127" s="2"/>
      <c r="AD127" s="24"/>
      <c r="AE127" s="24"/>
      <c r="AF127" s="24"/>
      <c r="AG127" s="23"/>
      <c r="AH127" s="23"/>
      <c r="AI127"/>
      <c r="AJ127"/>
    </row>
    <row r="128" spans="17:36">
      <c r="Q128" s="3"/>
      <c r="S128" s="2"/>
      <c r="AD128" s="24"/>
      <c r="AE128" s="24"/>
      <c r="AF128" s="24"/>
      <c r="AG128" s="23"/>
      <c r="AH128" s="23"/>
      <c r="AI128"/>
      <c r="AJ128"/>
    </row>
    <row r="129" spans="17:36">
      <c r="Q129" s="3"/>
      <c r="S129" s="2"/>
      <c r="AD129" s="24"/>
      <c r="AE129" s="24"/>
      <c r="AF129" s="24"/>
      <c r="AG129" s="23"/>
      <c r="AH129" s="23"/>
      <c r="AI129"/>
      <c r="AJ129"/>
    </row>
    <row r="130" spans="17:36">
      <c r="Q130" s="3"/>
      <c r="S130" s="2"/>
      <c r="AD130" s="24"/>
      <c r="AE130" s="24"/>
      <c r="AF130" s="24"/>
      <c r="AG130" s="23"/>
      <c r="AH130" s="23"/>
      <c r="AI130"/>
      <c r="AJ130"/>
    </row>
    <row r="131" spans="17:36">
      <c r="Q131" s="3"/>
      <c r="S131" s="2"/>
      <c r="AD131" s="24"/>
      <c r="AE131" s="24"/>
      <c r="AF131" s="24"/>
      <c r="AG131" s="23"/>
      <c r="AH131" s="23"/>
      <c r="AI131"/>
      <c r="AJ131"/>
    </row>
    <row r="132" spans="17:36">
      <c r="Q132" s="3"/>
      <c r="S132" s="2"/>
      <c r="AD132" s="24"/>
      <c r="AE132" s="24"/>
      <c r="AF132" s="24"/>
      <c r="AG132" s="23"/>
      <c r="AH132" s="23"/>
      <c r="AI132"/>
      <c r="AJ132"/>
    </row>
    <row r="133" spans="17:36">
      <c r="Q133" s="3"/>
      <c r="S133" s="2"/>
      <c r="AD133" s="24"/>
      <c r="AE133" s="24"/>
      <c r="AF133" s="24"/>
      <c r="AG133" s="23"/>
      <c r="AH133" s="23"/>
      <c r="AI133"/>
      <c r="AJ133"/>
    </row>
    <row r="134" spans="17:36">
      <c r="Q134" s="3"/>
      <c r="S134" s="2"/>
      <c r="AD134" s="24"/>
      <c r="AE134" s="24"/>
      <c r="AF134" s="24"/>
      <c r="AG134" s="23"/>
      <c r="AH134" s="23"/>
      <c r="AI134"/>
      <c r="AJ134"/>
    </row>
    <row r="135" spans="17:36">
      <c r="Q135" s="3"/>
      <c r="S135" s="2"/>
      <c r="AD135" s="24"/>
      <c r="AE135" s="24"/>
      <c r="AF135" s="24"/>
      <c r="AG135" s="23"/>
      <c r="AH135" s="23"/>
      <c r="AI135"/>
      <c r="AJ135"/>
    </row>
    <row r="136" spans="17:36">
      <c r="Q136" s="3"/>
      <c r="S136" s="2"/>
      <c r="AD136" s="24"/>
      <c r="AE136" s="24"/>
      <c r="AF136" s="24"/>
      <c r="AG136" s="23"/>
      <c r="AH136" s="23"/>
      <c r="AI136"/>
      <c r="AJ136"/>
    </row>
    <row r="137" spans="17:36">
      <c r="Q137" s="3"/>
      <c r="S137" s="2"/>
      <c r="AD137" s="24"/>
      <c r="AE137" s="24"/>
      <c r="AF137" s="24"/>
      <c r="AG137" s="23"/>
      <c r="AH137" s="23"/>
      <c r="AI137"/>
      <c r="AJ137"/>
    </row>
    <row r="138" spans="17:36">
      <c r="Q138" s="3"/>
      <c r="S138" s="2"/>
      <c r="AD138" s="24"/>
      <c r="AE138" s="24"/>
      <c r="AF138" s="24"/>
      <c r="AG138" s="23"/>
      <c r="AH138" s="23"/>
      <c r="AI138"/>
      <c r="AJ138"/>
    </row>
    <row r="139" spans="17:36">
      <c r="Q139" s="3"/>
      <c r="S139" s="2"/>
      <c r="AD139" s="24"/>
      <c r="AE139" s="24"/>
      <c r="AF139" s="24"/>
      <c r="AG139" s="23"/>
      <c r="AH139" s="23"/>
      <c r="AI139"/>
      <c r="AJ139"/>
    </row>
    <row r="140" spans="17:36">
      <c r="Q140" s="3"/>
      <c r="S140" s="2"/>
      <c r="AD140" s="24"/>
      <c r="AE140" s="24"/>
      <c r="AF140" s="24"/>
      <c r="AG140" s="23"/>
      <c r="AH140" s="23"/>
      <c r="AI140"/>
      <c r="AJ140"/>
    </row>
    <row r="141" spans="17:36">
      <c r="Q141" s="3"/>
      <c r="S141" s="2"/>
      <c r="AD141" s="24"/>
      <c r="AE141" s="24"/>
      <c r="AF141" s="24"/>
      <c r="AG141" s="23"/>
      <c r="AH141" s="23"/>
      <c r="AI141"/>
      <c r="AJ141"/>
    </row>
    <row r="142" spans="17:36">
      <c r="Q142" s="3"/>
      <c r="S142" s="2"/>
      <c r="AD142" s="24"/>
      <c r="AE142" s="24"/>
      <c r="AF142" s="24"/>
      <c r="AG142" s="23"/>
      <c r="AH142" s="23"/>
      <c r="AI142"/>
      <c r="AJ142"/>
    </row>
    <row r="143" spans="17:36">
      <c r="Q143" s="3"/>
      <c r="S143" s="2"/>
      <c r="AD143" s="24"/>
      <c r="AE143" s="24"/>
      <c r="AF143" s="24"/>
      <c r="AG143" s="23"/>
      <c r="AH143" s="23"/>
      <c r="AI143"/>
      <c r="AJ143"/>
    </row>
    <row r="144" spans="17:36">
      <c r="Q144" s="3"/>
      <c r="S144" s="2"/>
      <c r="AD144" s="24"/>
      <c r="AE144" s="24"/>
      <c r="AF144" s="24"/>
      <c r="AG144" s="23"/>
      <c r="AH144" s="23"/>
      <c r="AI144"/>
      <c r="AJ144"/>
    </row>
    <row r="145" spans="17:36">
      <c r="Q145" s="3"/>
      <c r="S145" s="2"/>
      <c r="AD145" s="24"/>
      <c r="AE145" s="24"/>
      <c r="AF145" s="24"/>
      <c r="AG145" s="23"/>
      <c r="AH145" s="23"/>
      <c r="AI145"/>
      <c r="AJ145"/>
    </row>
    <row r="146" spans="17:36">
      <c r="Q146" s="3"/>
      <c r="S146" s="2"/>
      <c r="AD146" s="24"/>
      <c r="AE146" s="24"/>
      <c r="AF146" s="24"/>
      <c r="AG146" s="23"/>
      <c r="AH146" s="23"/>
      <c r="AI146"/>
      <c r="AJ146"/>
    </row>
    <row r="147" spans="17:36">
      <c r="Q147" s="3"/>
      <c r="S147" s="2"/>
      <c r="AD147" s="24"/>
      <c r="AE147" s="24"/>
      <c r="AF147" s="24"/>
      <c r="AG147" s="23"/>
      <c r="AH147" s="23"/>
      <c r="AI147"/>
      <c r="AJ147"/>
    </row>
    <row r="148" spans="17:36">
      <c r="Q148" s="3"/>
      <c r="S148" s="2"/>
      <c r="AD148" s="24"/>
      <c r="AE148" s="24"/>
      <c r="AF148" s="24"/>
      <c r="AG148" s="23"/>
      <c r="AH148" s="23"/>
      <c r="AI148"/>
      <c r="AJ148"/>
    </row>
    <row r="149" spans="17:36">
      <c r="Q149" s="3"/>
      <c r="S149" s="2"/>
      <c r="AD149" s="24"/>
      <c r="AE149" s="24"/>
      <c r="AF149" s="24"/>
      <c r="AG149" s="23"/>
      <c r="AH149" s="23"/>
      <c r="AI149"/>
      <c r="AJ149"/>
    </row>
    <row r="150" spans="17:36">
      <c r="Q150" s="3"/>
      <c r="S150" s="2"/>
      <c r="AD150" s="24"/>
      <c r="AE150" s="24"/>
      <c r="AF150" s="24"/>
      <c r="AG150" s="23"/>
      <c r="AH150" s="23"/>
      <c r="AI150"/>
      <c r="AJ150"/>
    </row>
    <row r="151" spans="17:36">
      <c r="Q151" s="3"/>
      <c r="S151" s="2"/>
      <c r="AD151" s="24"/>
      <c r="AE151" s="24"/>
      <c r="AF151" s="24"/>
      <c r="AG151" s="23"/>
      <c r="AH151" s="23"/>
      <c r="AI151"/>
      <c r="AJ151"/>
    </row>
    <row r="152" spans="17:36">
      <c r="Q152" s="3"/>
      <c r="S152" s="2"/>
      <c r="AD152" s="24"/>
      <c r="AE152" s="24"/>
      <c r="AF152" s="24"/>
      <c r="AG152" s="23"/>
      <c r="AH152" s="23"/>
      <c r="AI152"/>
      <c r="AJ152"/>
    </row>
    <row r="153" spans="17:36">
      <c r="Q153" s="3"/>
      <c r="S153" s="2"/>
      <c r="AD153" s="24"/>
      <c r="AE153" s="24"/>
      <c r="AF153" s="24"/>
      <c r="AG153" s="23"/>
      <c r="AH153" s="23"/>
      <c r="AI153"/>
      <c r="AJ153"/>
    </row>
    <row r="154" spans="17:36">
      <c r="Q154" s="3"/>
      <c r="S154" s="2"/>
      <c r="AD154" s="24"/>
      <c r="AE154" s="24"/>
      <c r="AF154" s="24"/>
      <c r="AG154" s="23"/>
      <c r="AH154" s="23"/>
      <c r="AI154"/>
      <c r="AJ154"/>
    </row>
    <row r="155" spans="17:36">
      <c r="Q155" s="3"/>
      <c r="S155" s="2"/>
      <c r="AD155" s="24"/>
      <c r="AE155" s="24"/>
      <c r="AF155" s="24"/>
      <c r="AG155" s="23"/>
      <c r="AH155" s="23"/>
      <c r="AI155"/>
      <c r="AJ155"/>
    </row>
    <row r="156" spans="17:36">
      <c r="Q156" s="3"/>
      <c r="S156" s="2"/>
      <c r="AD156" s="24"/>
      <c r="AE156" s="24"/>
      <c r="AF156" s="24"/>
      <c r="AG156" s="23"/>
      <c r="AH156" s="23"/>
      <c r="AI156"/>
      <c r="AJ156"/>
    </row>
    <row r="157" spans="17:36">
      <c r="Q157" s="3"/>
      <c r="S157" s="2"/>
      <c r="AD157" s="24"/>
      <c r="AE157" s="24"/>
      <c r="AF157" s="24"/>
      <c r="AG157" s="23"/>
      <c r="AH157" s="23"/>
      <c r="AI157"/>
      <c r="AJ157"/>
    </row>
    <row r="158" spans="17:36">
      <c r="Q158" s="3"/>
      <c r="S158" s="2"/>
      <c r="AD158" s="24"/>
      <c r="AE158" s="24"/>
      <c r="AF158" s="24"/>
      <c r="AG158" s="23"/>
      <c r="AH158" s="23"/>
      <c r="AI158"/>
      <c r="AJ158"/>
    </row>
    <row r="159" spans="17:36">
      <c r="Q159" s="3"/>
      <c r="S159" s="2"/>
      <c r="AD159" s="24"/>
      <c r="AE159" s="24"/>
      <c r="AF159" s="24"/>
      <c r="AG159" s="23"/>
      <c r="AH159" s="23"/>
      <c r="AI159"/>
      <c r="AJ159"/>
    </row>
    <row r="160" spans="17:36">
      <c r="Q160" s="3"/>
      <c r="S160" s="2"/>
      <c r="AD160" s="24"/>
      <c r="AE160" s="24"/>
      <c r="AF160" s="24"/>
      <c r="AG160" s="23"/>
      <c r="AH160" s="23"/>
      <c r="AI160"/>
      <c r="AJ160"/>
    </row>
    <row r="161" spans="17:36">
      <c r="Q161" s="3"/>
      <c r="S161" s="2"/>
      <c r="AD161" s="24"/>
      <c r="AE161" s="24"/>
      <c r="AF161" s="24"/>
      <c r="AG161" s="23"/>
      <c r="AH161" s="23"/>
      <c r="AI161"/>
      <c r="AJ161"/>
    </row>
    <row r="162" spans="17:36">
      <c r="Q162" s="3"/>
      <c r="S162" s="2"/>
      <c r="AD162" s="24"/>
      <c r="AE162" s="24"/>
      <c r="AF162" s="24"/>
      <c r="AG162" s="23"/>
      <c r="AH162" s="23"/>
      <c r="AI162"/>
      <c r="AJ162"/>
    </row>
    <row r="163" spans="17:36">
      <c r="Q163" s="3"/>
      <c r="S163" s="2"/>
      <c r="AD163" s="24"/>
      <c r="AE163" s="24"/>
      <c r="AF163" s="24"/>
      <c r="AG163" s="23"/>
      <c r="AH163" s="23"/>
      <c r="AI163"/>
      <c r="AJ163"/>
    </row>
    <row r="164" spans="17:36">
      <c r="Q164" s="3"/>
      <c r="S164" s="2"/>
      <c r="AD164" s="24"/>
      <c r="AE164" s="24"/>
      <c r="AF164" s="24"/>
      <c r="AG164" s="23"/>
      <c r="AH164" s="23"/>
      <c r="AI164"/>
      <c r="AJ164"/>
    </row>
    <row r="165" spans="17:36">
      <c r="Q165" s="3"/>
      <c r="S165" s="2"/>
      <c r="AD165" s="24"/>
      <c r="AE165" s="24"/>
      <c r="AF165" s="24"/>
      <c r="AG165" s="23"/>
      <c r="AH165" s="23"/>
      <c r="AI165"/>
      <c r="AJ165"/>
    </row>
    <row r="166" spans="17:36">
      <c r="Q166" s="3"/>
      <c r="S166" s="2"/>
      <c r="AD166" s="24"/>
      <c r="AE166" s="24"/>
      <c r="AF166" s="24"/>
      <c r="AG166" s="23"/>
      <c r="AH166" s="23"/>
      <c r="AI166"/>
      <c r="AJ166"/>
    </row>
    <row r="167" spans="17:36">
      <c r="Q167" s="3"/>
      <c r="S167" s="2"/>
      <c r="AD167" s="24"/>
      <c r="AE167" s="24"/>
      <c r="AF167" s="24"/>
      <c r="AG167" s="23"/>
      <c r="AH167" s="23"/>
      <c r="AI167"/>
      <c r="AJ167"/>
    </row>
    <row r="168" spans="17:36">
      <c r="Q168" s="3"/>
      <c r="S168" s="2"/>
      <c r="AD168" s="24"/>
      <c r="AE168" s="24"/>
      <c r="AF168" s="24"/>
      <c r="AG168" s="23"/>
      <c r="AH168" s="23"/>
      <c r="AI168"/>
      <c r="AJ168"/>
    </row>
    <row r="169" spans="17:36">
      <c r="Q169" s="3"/>
      <c r="S169" s="2"/>
      <c r="AD169" s="24"/>
      <c r="AE169" s="24"/>
      <c r="AF169" s="24"/>
      <c r="AG169" s="23"/>
      <c r="AH169" s="23"/>
      <c r="AI169"/>
      <c r="AJ169"/>
    </row>
    <row r="170" spans="17:36">
      <c r="Q170" s="3"/>
      <c r="S170" s="2"/>
      <c r="AD170" s="24"/>
      <c r="AE170" s="24"/>
      <c r="AF170" s="24"/>
      <c r="AG170" s="23"/>
      <c r="AH170" s="23"/>
      <c r="AI170"/>
      <c r="AJ170"/>
    </row>
    <row r="171" spans="17:36">
      <c r="Q171" s="3"/>
      <c r="S171" s="2"/>
      <c r="AD171" s="24"/>
      <c r="AE171" s="24"/>
      <c r="AF171" s="24"/>
      <c r="AG171" s="23"/>
      <c r="AH171" s="23"/>
      <c r="AI171"/>
      <c r="AJ171"/>
    </row>
    <row r="172" spans="17:36">
      <c r="Q172" s="3"/>
      <c r="S172" s="2"/>
      <c r="AD172" s="24"/>
      <c r="AE172" s="24"/>
      <c r="AF172" s="24"/>
      <c r="AG172" s="23"/>
      <c r="AH172" s="23"/>
      <c r="AI172"/>
      <c r="AJ172"/>
    </row>
    <row r="173" spans="17:36">
      <c r="Q173" s="3"/>
      <c r="S173" s="2"/>
      <c r="AD173" s="24"/>
      <c r="AE173" s="24"/>
      <c r="AF173" s="24"/>
      <c r="AG173" s="23"/>
      <c r="AH173" s="23"/>
      <c r="AI173"/>
      <c r="AJ173"/>
    </row>
    <row r="174" spans="17:36">
      <c r="Q174" s="3"/>
      <c r="S174" s="2"/>
      <c r="AD174" s="24"/>
      <c r="AE174" s="24"/>
      <c r="AF174" s="24"/>
      <c r="AG174" s="23"/>
      <c r="AH174" s="23"/>
      <c r="AI174"/>
      <c r="AJ174"/>
    </row>
    <row r="175" spans="17:36">
      <c r="Q175" s="3"/>
      <c r="S175" s="2"/>
      <c r="AD175" s="24"/>
      <c r="AE175" s="24"/>
      <c r="AF175" s="24"/>
      <c r="AG175" s="23"/>
      <c r="AH175" s="23"/>
      <c r="AI175"/>
      <c r="AJ175"/>
    </row>
    <row r="176" spans="17:36">
      <c r="Q176" s="3"/>
      <c r="S176" s="2"/>
      <c r="AD176" s="24"/>
      <c r="AE176" s="24"/>
      <c r="AF176" s="24"/>
      <c r="AG176" s="23"/>
      <c r="AH176" s="23"/>
      <c r="AI176"/>
      <c r="AJ176"/>
    </row>
    <row r="177" spans="17:36">
      <c r="Q177" s="3"/>
      <c r="S177" s="2"/>
      <c r="AD177" s="24"/>
      <c r="AE177" s="24"/>
      <c r="AF177" s="24"/>
      <c r="AG177" s="23"/>
      <c r="AH177" s="23"/>
      <c r="AI177"/>
      <c r="AJ177"/>
    </row>
    <row r="178" spans="17:36">
      <c r="Q178" s="3"/>
      <c r="S178" s="2"/>
      <c r="AD178" s="24"/>
      <c r="AE178" s="24"/>
      <c r="AF178" s="24"/>
      <c r="AG178" s="23"/>
      <c r="AH178" s="23"/>
      <c r="AI178"/>
      <c r="AJ178"/>
    </row>
    <row r="179" spans="17:36">
      <c r="Q179" s="3"/>
      <c r="S179" s="2"/>
      <c r="AD179" s="24"/>
      <c r="AE179" s="24"/>
      <c r="AF179" s="24"/>
      <c r="AG179" s="23"/>
      <c r="AH179" s="23"/>
      <c r="AI179"/>
      <c r="AJ179"/>
    </row>
    <row r="180" spans="17:36">
      <c r="Q180" s="3"/>
      <c r="S180" s="2"/>
      <c r="AD180" s="24"/>
      <c r="AE180" s="24"/>
      <c r="AF180" s="24"/>
      <c r="AG180" s="23"/>
      <c r="AH180" s="23"/>
      <c r="AI180"/>
      <c r="AJ180"/>
    </row>
    <row r="181" spans="17:36">
      <c r="Q181" s="3"/>
      <c r="S181" s="2"/>
      <c r="AD181" s="24"/>
      <c r="AE181" s="24"/>
      <c r="AF181" s="24"/>
      <c r="AG181" s="23"/>
      <c r="AH181" s="23"/>
      <c r="AI181"/>
      <c r="AJ181"/>
    </row>
    <row r="182" spans="17:36">
      <c r="Q182" s="3"/>
      <c r="S182" s="2"/>
      <c r="AD182" s="24"/>
      <c r="AE182" s="24"/>
      <c r="AF182" s="24"/>
      <c r="AG182" s="23"/>
      <c r="AH182" s="23"/>
      <c r="AI182"/>
      <c r="AJ182"/>
    </row>
    <row r="183" spans="17:36">
      <c r="Q183" s="3"/>
      <c r="S183" s="2"/>
      <c r="AD183" s="24"/>
      <c r="AE183" s="24"/>
      <c r="AF183" s="24"/>
      <c r="AG183" s="23"/>
      <c r="AH183" s="23"/>
      <c r="AI183"/>
      <c r="AJ183"/>
    </row>
    <row r="184" spans="17:36">
      <c r="Q184" s="3"/>
      <c r="S184" s="2"/>
      <c r="AD184" s="24"/>
      <c r="AE184" s="24"/>
      <c r="AF184" s="24"/>
      <c r="AG184" s="23"/>
      <c r="AH184" s="23"/>
      <c r="AI184"/>
      <c r="AJ184"/>
    </row>
    <row r="185" spans="17:36">
      <c r="Q185" s="3"/>
      <c r="S185" s="2"/>
      <c r="AD185" s="24"/>
      <c r="AE185" s="24"/>
      <c r="AF185" s="24"/>
      <c r="AG185" s="23"/>
      <c r="AH185" s="23"/>
      <c r="AI185"/>
      <c r="AJ185"/>
    </row>
    <row r="186" spans="17:36">
      <c r="Q186" s="3"/>
      <c r="S186" s="2"/>
      <c r="AD186" s="24"/>
      <c r="AE186" s="24"/>
      <c r="AF186" s="24"/>
      <c r="AG186" s="24"/>
      <c r="AH186" s="24"/>
    </row>
    <row r="187" spans="17:36">
      <c r="Q187" s="3"/>
      <c r="S187" s="2"/>
      <c r="AD187" s="24"/>
      <c r="AE187" s="24"/>
      <c r="AF187" s="24"/>
      <c r="AG187" s="24"/>
      <c r="AH187" s="24"/>
    </row>
    <row r="188" spans="17:36">
      <c r="Q188" s="3"/>
      <c r="S188" s="2"/>
      <c r="AD188" s="24"/>
      <c r="AE188" s="24"/>
      <c r="AF188" s="24"/>
      <c r="AG188" s="24"/>
      <c r="AH188" s="24"/>
    </row>
    <row r="189" spans="17:36">
      <c r="Q189" s="3"/>
      <c r="S189" s="2"/>
      <c r="AD189" s="24"/>
      <c r="AE189" s="24"/>
      <c r="AF189" s="24"/>
      <c r="AG189" s="24"/>
      <c r="AH189" s="24"/>
    </row>
    <row r="190" spans="17:36">
      <c r="Q190" s="3"/>
      <c r="S190" s="2"/>
      <c r="AD190" s="24"/>
      <c r="AE190" s="24"/>
      <c r="AF190" s="24"/>
      <c r="AG190" s="24"/>
      <c r="AH190" s="24"/>
    </row>
    <row r="191" spans="17:36">
      <c r="Q191" s="3"/>
      <c r="S191" s="2"/>
      <c r="AD191" s="24"/>
      <c r="AE191" s="24"/>
      <c r="AF191" s="24"/>
      <c r="AG191" s="24"/>
      <c r="AH191" s="24"/>
    </row>
    <row r="192" spans="17:36">
      <c r="Q192" s="3"/>
      <c r="S192" s="2"/>
      <c r="AD192" s="24"/>
      <c r="AE192" s="24"/>
      <c r="AF192" s="24"/>
      <c r="AG192" s="24"/>
      <c r="AH192" s="24"/>
    </row>
    <row r="193" spans="17:34">
      <c r="Q193" s="3"/>
      <c r="S193" s="2"/>
      <c r="AD193" s="24"/>
      <c r="AE193" s="24"/>
      <c r="AF193" s="24"/>
      <c r="AG193" s="24"/>
      <c r="AH193" s="24"/>
    </row>
    <row r="194" spans="17:34">
      <c r="Q194" s="3"/>
      <c r="S194" s="2"/>
      <c r="AD194" s="24"/>
      <c r="AE194" s="24"/>
      <c r="AF194" s="24"/>
      <c r="AG194" s="24"/>
      <c r="AH194" s="24"/>
    </row>
    <row r="195" spans="17:34">
      <c r="Q195" s="3"/>
      <c r="S195" s="2"/>
      <c r="AD195" s="24"/>
      <c r="AE195" s="24"/>
      <c r="AF195" s="24"/>
      <c r="AG195" s="24"/>
      <c r="AH195" s="24"/>
    </row>
    <row r="196" spans="17:34">
      <c r="Q196" s="3"/>
      <c r="S196" s="2"/>
      <c r="AD196" s="24"/>
      <c r="AE196" s="24"/>
      <c r="AF196" s="24"/>
      <c r="AG196" s="24"/>
      <c r="AH196" s="24"/>
    </row>
    <row r="197" spans="17:34">
      <c r="Q197" s="3"/>
      <c r="S197" s="2"/>
      <c r="AD197" s="24"/>
      <c r="AE197" s="24"/>
      <c r="AF197" s="24"/>
      <c r="AG197" s="24"/>
      <c r="AH197" s="24"/>
    </row>
    <row r="198" spans="17:34">
      <c r="Q198" s="3"/>
      <c r="S198" s="2"/>
      <c r="AD198" s="24"/>
      <c r="AE198" s="24"/>
      <c r="AF198" s="24"/>
      <c r="AG198" s="24"/>
      <c r="AH198" s="24"/>
    </row>
    <row r="199" spans="17:34">
      <c r="Q199" s="3"/>
      <c r="S199" s="2"/>
      <c r="AD199" s="24"/>
      <c r="AE199" s="24"/>
      <c r="AF199" s="24"/>
      <c r="AG199" s="24"/>
      <c r="AH199" s="24"/>
    </row>
    <row r="200" spans="17:34">
      <c r="Q200" s="3"/>
      <c r="S200" s="2"/>
      <c r="AD200" s="24"/>
      <c r="AE200" s="24"/>
      <c r="AF200" s="24"/>
      <c r="AG200" s="24"/>
      <c r="AH200" s="24"/>
    </row>
    <row r="201" spans="17:34">
      <c r="Q201" s="3"/>
      <c r="S201" s="2"/>
      <c r="AD201" s="24"/>
      <c r="AE201" s="24"/>
      <c r="AF201" s="24"/>
      <c r="AG201" s="24"/>
      <c r="AH201" s="24"/>
    </row>
    <row r="202" spans="17:34">
      <c r="Q202" s="3"/>
      <c r="S202" s="2"/>
      <c r="AD202" s="24"/>
      <c r="AE202" s="24"/>
      <c r="AF202" s="24"/>
      <c r="AG202" s="24"/>
      <c r="AH202" s="24"/>
    </row>
    <row r="203" spans="17:34">
      <c r="Q203" s="3"/>
      <c r="S203" s="2"/>
      <c r="AD203" s="24"/>
      <c r="AE203" s="24"/>
      <c r="AF203" s="24"/>
      <c r="AG203" s="24"/>
      <c r="AH203" s="24"/>
    </row>
    <row r="204" spans="17:34">
      <c r="Q204" s="3"/>
      <c r="S204" s="2"/>
      <c r="AD204" s="24"/>
      <c r="AE204" s="24"/>
      <c r="AF204" s="24"/>
      <c r="AG204" s="24"/>
      <c r="AH204" s="24"/>
    </row>
    <row r="205" spans="17:34">
      <c r="Q205" s="3"/>
      <c r="S205" s="2"/>
      <c r="AD205" s="24"/>
      <c r="AE205" s="24"/>
      <c r="AF205" s="24"/>
      <c r="AG205" s="24"/>
      <c r="AH205" s="24"/>
    </row>
    <row r="206" spans="17:34">
      <c r="Q206" s="3"/>
      <c r="S206" s="2"/>
      <c r="AD206" s="24"/>
      <c r="AE206" s="24"/>
      <c r="AF206" s="24"/>
      <c r="AG206" s="24"/>
      <c r="AH206" s="24"/>
    </row>
    <row r="207" spans="17:34">
      <c r="Q207" s="3"/>
      <c r="S207" s="2"/>
      <c r="AD207" s="24"/>
      <c r="AE207" s="24"/>
      <c r="AF207" s="24"/>
      <c r="AG207" s="24"/>
      <c r="AH207" s="24"/>
    </row>
    <row r="208" spans="17:34">
      <c r="Q208" s="3"/>
      <c r="S208" s="2"/>
      <c r="AD208" s="24"/>
      <c r="AE208" s="24"/>
      <c r="AF208" s="24"/>
      <c r="AG208" s="24"/>
      <c r="AH208" s="24"/>
    </row>
    <row r="209" spans="17:34">
      <c r="Q209" s="3"/>
      <c r="S209" s="2"/>
      <c r="AD209" s="24"/>
      <c r="AE209" s="24"/>
      <c r="AF209" s="24"/>
      <c r="AG209" s="24"/>
      <c r="AH209" s="24"/>
    </row>
    <row r="210" spans="17:34">
      <c r="Q210" s="3"/>
      <c r="S210" s="2"/>
      <c r="AD210" s="24"/>
      <c r="AE210" s="24"/>
      <c r="AF210" s="24"/>
      <c r="AG210" s="24"/>
      <c r="AH210" s="24"/>
    </row>
    <row r="211" spans="17:34">
      <c r="Q211" s="3"/>
      <c r="S211" s="2"/>
      <c r="AD211" s="24"/>
      <c r="AE211" s="24"/>
      <c r="AF211" s="24"/>
      <c r="AG211" s="24"/>
      <c r="AH211" s="24"/>
    </row>
    <row r="212" spans="17:34">
      <c r="Q212" s="3"/>
      <c r="S212" s="2"/>
      <c r="AD212" s="24"/>
      <c r="AE212" s="24"/>
      <c r="AF212" s="24"/>
      <c r="AG212" s="24"/>
      <c r="AH212" s="24"/>
    </row>
    <row r="213" spans="17:34">
      <c r="Q213" s="3"/>
      <c r="S213" s="2"/>
      <c r="AD213" s="24"/>
      <c r="AE213" s="24"/>
      <c r="AF213" s="24"/>
      <c r="AG213" s="24"/>
      <c r="AH213" s="24"/>
    </row>
    <row r="214" spans="17:34">
      <c r="Q214" s="3"/>
      <c r="S214" s="2"/>
      <c r="AD214" s="24"/>
      <c r="AE214" s="24"/>
      <c r="AF214" s="24"/>
      <c r="AG214" s="24"/>
      <c r="AH214" s="24"/>
    </row>
    <row r="215" spans="17:34">
      <c r="Q215" s="3"/>
      <c r="S215" s="2"/>
      <c r="AD215" s="24"/>
      <c r="AE215" s="24"/>
      <c r="AF215" s="24"/>
      <c r="AG215" s="24"/>
      <c r="AH215" s="24"/>
    </row>
    <row r="216" spans="17:34">
      <c r="Q216" s="3"/>
      <c r="S216" s="2"/>
      <c r="AD216" s="24"/>
      <c r="AE216" s="24"/>
      <c r="AF216" s="24"/>
      <c r="AG216" s="24"/>
      <c r="AH216" s="24"/>
    </row>
    <row r="217" spans="17:34">
      <c r="Q217" s="3"/>
      <c r="S217" s="2"/>
      <c r="AD217" s="24"/>
      <c r="AE217" s="24"/>
      <c r="AF217" s="24"/>
      <c r="AG217" s="24"/>
      <c r="AH217" s="24"/>
    </row>
    <row r="218" spans="17:34">
      <c r="Q218" s="3"/>
      <c r="S218" s="2"/>
      <c r="AD218" s="24"/>
      <c r="AE218" s="24"/>
      <c r="AF218" s="24"/>
      <c r="AG218" s="24"/>
      <c r="AH218" s="24"/>
    </row>
    <row r="219" spans="17:34">
      <c r="Q219" s="3"/>
      <c r="S219" s="2"/>
      <c r="AD219" s="24"/>
      <c r="AE219" s="24"/>
      <c r="AF219" s="24"/>
      <c r="AG219" s="24"/>
      <c r="AH219" s="24"/>
    </row>
    <row r="220" spans="17:34">
      <c r="Q220" s="3"/>
      <c r="S220" s="2"/>
      <c r="AD220" s="24"/>
      <c r="AE220" s="24"/>
      <c r="AF220" s="24"/>
      <c r="AG220" s="24"/>
      <c r="AH220" s="24"/>
    </row>
    <row r="221" spans="17:34">
      <c r="Q221" s="3"/>
      <c r="S221" s="2"/>
      <c r="AD221" s="24"/>
      <c r="AE221" s="24"/>
      <c r="AF221" s="24"/>
      <c r="AG221" s="24"/>
      <c r="AH221" s="24"/>
    </row>
    <row r="222" spans="17:34">
      <c r="Q222" s="3"/>
      <c r="S222" s="2"/>
      <c r="AD222" s="24"/>
      <c r="AE222" s="24"/>
      <c r="AF222" s="24"/>
      <c r="AG222" s="24"/>
      <c r="AH222" s="24"/>
    </row>
    <row r="223" spans="17:34">
      <c r="Q223" s="3"/>
      <c r="S223" s="2"/>
      <c r="AD223" s="24"/>
      <c r="AE223" s="24"/>
      <c r="AF223" s="24"/>
      <c r="AG223" s="24"/>
      <c r="AH223" s="24"/>
    </row>
    <row r="224" spans="17:34">
      <c r="Q224" s="3"/>
      <c r="S224" s="2"/>
      <c r="AD224" s="24"/>
      <c r="AE224" s="24"/>
      <c r="AF224" s="24"/>
      <c r="AG224" s="24"/>
      <c r="AH224" s="24"/>
    </row>
    <row r="225" spans="17:34">
      <c r="Q225" s="3"/>
      <c r="S225" s="2"/>
      <c r="AD225" s="24"/>
      <c r="AE225" s="24"/>
      <c r="AF225" s="24"/>
      <c r="AG225" s="24"/>
      <c r="AH225" s="24"/>
    </row>
    <row r="226" spans="17:34">
      <c r="Q226" s="3"/>
      <c r="S226" s="2"/>
      <c r="AD226" s="24"/>
      <c r="AE226" s="24"/>
      <c r="AF226" s="24"/>
      <c r="AG226" s="24"/>
      <c r="AH226" s="24"/>
    </row>
    <row r="227" spans="17:34">
      <c r="Q227" s="3"/>
      <c r="S227" s="2"/>
      <c r="AD227" s="24"/>
      <c r="AE227" s="24"/>
      <c r="AF227" s="24"/>
      <c r="AG227" s="24"/>
      <c r="AH227" s="24"/>
    </row>
    <row r="228" spans="17:34">
      <c r="Q228" s="3"/>
      <c r="S228" s="2"/>
      <c r="AD228" s="24"/>
      <c r="AE228" s="24"/>
      <c r="AF228" s="24"/>
      <c r="AG228" s="24"/>
      <c r="AH228" s="24"/>
    </row>
    <row r="229" spans="17:34">
      <c r="Q229" s="3"/>
      <c r="S229" s="2"/>
      <c r="AD229" s="24"/>
      <c r="AE229" s="24"/>
      <c r="AF229" s="24"/>
      <c r="AG229" s="24"/>
      <c r="AH229" s="24"/>
    </row>
    <row r="230" spans="17:34">
      <c r="Q230" s="3"/>
      <c r="S230" s="2"/>
      <c r="AD230" s="24"/>
      <c r="AE230" s="24"/>
      <c r="AF230" s="24"/>
      <c r="AG230" s="24"/>
      <c r="AH230" s="24"/>
    </row>
    <row r="231" spans="17:34">
      <c r="Q231" s="3"/>
      <c r="S231" s="2"/>
      <c r="AD231" s="24"/>
      <c r="AE231" s="24"/>
      <c r="AF231" s="24"/>
      <c r="AG231" s="24"/>
      <c r="AH231" s="24"/>
    </row>
    <row r="232" spans="17:34">
      <c r="Q232" s="3"/>
      <c r="S232" s="2"/>
      <c r="AD232" s="24"/>
      <c r="AE232" s="24"/>
      <c r="AF232" s="24"/>
      <c r="AG232" s="24"/>
      <c r="AH232" s="24"/>
    </row>
    <row r="233" spans="17:34">
      <c r="Q233" s="3"/>
      <c r="S233" s="2"/>
      <c r="AD233" s="24"/>
      <c r="AE233" s="24"/>
      <c r="AF233" s="24"/>
      <c r="AG233" s="24"/>
      <c r="AH233" s="24"/>
    </row>
    <row r="234" spans="17:34">
      <c r="Q234" s="3"/>
      <c r="S234" s="2"/>
      <c r="AD234" s="24"/>
      <c r="AE234" s="24"/>
      <c r="AF234" s="24"/>
      <c r="AG234" s="24"/>
      <c r="AH234" s="24"/>
    </row>
    <row r="235" spans="17:34">
      <c r="S235" s="2"/>
      <c r="AD235" s="24"/>
      <c r="AE235" s="24"/>
      <c r="AF235" s="24"/>
      <c r="AG235" s="24"/>
      <c r="AH235" s="24"/>
    </row>
    <row r="236" spans="17:34">
      <c r="S236" s="2"/>
      <c r="AD236" s="24"/>
      <c r="AE236" s="24"/>
      <c r="AF236" s="24"/>
      <c r="AG236" s="24"/>
      <c r="AH236" s="24"/>
    </row>
    <row r="237" spans="17:34">
      <c r="S237" s="2"/>
      <c r="AG237" s="24"/>
      <c r="AH237" s="24"/>
    </row>
    <row r="238" spans="17:34">
      <c r="S238" s="2"/>
      <c r="AG238" s="24"/>
      <c r="AH238" s="24"/>
    </row>
    <row r="239" spans="17:34">
      <c r="S239" s="2"/>
      <c r="AG239" s="24"/>
      <c r="AH239" s="24"/>
    </row>
    <row r="240" spans="17:34">
      <c r="S240" s="2"/>
      <c r="AG240" s="24"/>
      <c r="AH240" s="24"/>
    </row>
    <row r="241" spans="33:34">
      <c r="AG241" s="24"/>
      <c r="AH241" s="24"/>
    </row>
    <row r="242" spans="33:34">
      <c r="AG242" s="24"/>
      <c r="AH242" s="24"/>
    </row>
    <row r="243" spans="33:34">
      <c r="AG243" s="24"/>
      <c r="AH243" s="24"/>
    </row>
    <row r="244" spans="33:34">
      <c r="AG244" s="24"/>
      <c r="AH244" s="24"/>
    </row>
    <row r="245" spans="33:34">
      <c r="AG245" s="24"/>
      <c r="AH245" s="24"/>
    </row>
    <row r="246" spans="33:34">
      <c r="AG246" s="24"/>
      <c r="AH246" s="24"/>
    </row>
    <row r="247" spans="33:34">
      <c r="AG247" s="24"/>
      <c r="AH247" s="24"/>
    </row>
    <row r="248" spans="33:34">
      <c r="AG248" s="24"/>
      <c r="AH248" s="24"/>
    </row>
    <row r="249" spans="33:34">
      <c r="AG249" s="24"/>
      <c r="AH249" s="24"/>
    </row>
    <row r="250" spans="33:34">
      <c r="AG250" s="24"/>
      <c r="AH250" s="24"/>
    </row>
    <row r="251" spans="33:34">
      <c r="AG251" s="24"/>
      <c r="AH251" s="24"/>
    </row>
    <row r="252" spans="33:34">
      <c r="AG252" s="24"/>
      <c r="AH252" s="24"/>
    </row>
    <row r="253" spans="33:34">
      <c r="AG253" s="24"/>
      <c r="AH253" s="24"/>
    </row>
    <row r="254" spans="33:34">
      <c r="AG254" s="24"/>
      <c r="AH254" s="24"/>
    </row>
    <row r="255" spans="33:34">
      <c r="AG255" s="24"/>
      <c r="AH255" s="24"/>
    </row>
    <row r="256" spans="33:34">
      <c r="AG256" s="24"/>
      <c r="AH256" s="24"/>
    </row>
    <row r="257" spans="33:34">
      <c r="AG257" s="24"/>
      <c r="AH257" s="24"/>
    </row>
    <row r="258" spans="33:34">
      <c r="AG258" s="24"/>
      <c r="AH258" s="24"/>
    </row>
    <row r="259" spans="33:34">
      <c r="AG259" s="24"/>
      <c r="AH259" s="24"/>
    </row>
    <row r="260" spans="33:34">
      <c r="AG260" s="24"/>
      <c r="AH260" s="24"/>
    </row>
    <row r="261" spans="33:34">
      <c r="AG261" s="24"/>
      <c r="AH261" s="24"/>
    </row>
    <row r="262" spans="33:34">
      <c r="AG262" s="24"/>
      <c r="AH262" s="24"/>
    </row>
    <row r="263" spans="33:34">
      <c r="AG263" s="24"/>
      <c r="AH263" s="24"/>
    </row>
    <row r="264" spans="33:34">
      <c r="AG264" s="24"/>
      <c r="AH264" s="24"/>
    </row>
    <row r="265" spans="33:34">
      <c r="AG265" s="24"/>
      <c r="AH265" s="24"/>
    </row>
    <row r="266" spans="33:34">
      <c r="AG266" s="24"/>
      <c r="AH266" s="24"/>
    </row>
    <row r="267" spans="33:34">
      <c r="AG267" s="24"/>
      <c r="AH267" s="24"/>
    </row>
    <row r="268" spans="33:34">
      <c r="AG268" s="24"/>
      <c r="AH268" s="24"/>
    </row>
    <row r="269" spans="33:34">
      <c r="AG269" s="24"/>
      <c r="AH269" s="24"/>
    </row>
    <row r="270" spans="33:34">
      <c r="AG270" s="24"/>
      <c r="AH270" s="24"/>
    </row>
    <row r="271" spans="33:34">
      <c r="AG271" s="24"/>
      <c r="AH271" s="24"/>
    </row>
    <row r="272" spans="33:34">
      <c r="AG272" s="24"/>
      <c r="AH272" s="24"/>
    </row>
    <row r="273" spans="33:34">
      <c r="AG273" s="24"/>
      <c r="AH273" s="24"/>
    </row>
    <row r="274" spans="33:34">
      <c r="AG274" s="24"/>
      <c r="AH274" s="24"/>
    </row>
    <row r="275" spans="33:34">
      <c r="AG275" s="24"/>
      <c r="AH275" s="24"/>
    </row>
    <row r="276" spans="33:34">
      <c r="AG276" s="24"/>
      <c r="AH276" s="24"/>
    </row>
    <row r="277" spans="33:34">
      <c r="AG277" s="24"/>
      <c r="AH277" s="24"/>
    </row>
    <row r="278" spans="33:34">
      <c r="AG278" s="24"/>
      <c r="AH278" s="24"/>
    </row>
    <row r="279" spans="33:34">
      <c r="AG279" s="24"/>
      <c r="AH279" s="24"/>
    </row>
    <row r="280" spans="33:34">
      <c r="AG280" s="24"/>
      <c r="AH280" s="24"/>
    </row>
    <row r="281" spans="33:34">
      <c r="AG281" s="24"/>
      <c r="AH281" s="24"/>
    </row>
    <row r="282" spans="33:34">
      <c r="AG282" s="24"/>
      <c r="AH282" s="24"/>
    </row>
    <row r="283" spans="33:34">
      <c r="AG283" s="24"/>
      <c r="AH283" s="24"/>
    </row>
    <row r="284" spans="33:34">
      <c r="AG284" s="24"/>
      <c r="AH284" s="24"/>
    </row>
    <row r="285" spans="33:34">
      <c r="AG285" s="24"/>
      <c r="AH285" s="24"/>
    </row>
    <row r="286" spans="33:34">
      <c r="AG286" s="24"/>
      <c r="AH286" s="24"/>
    </row>
    <row r="287" spans="33:34">
      <c r="AG287" s="24"/>
      <c r="AH287" s="24"/>
    </row>
    <row r="288" spans="33:34">
      <c r="AG288" s="24"/>
      <c r="AH288" s="24"/>
    </row>
    <row r="289" spans="33:34">
      <c r="AG289" s="24"/>
      <c r="AH289" s="24"/>
    </row>
    <row r="290" spans="33:34">
      <c r="AG290" s="24"/>
      <c r="AH290" s="24"/>
    </row>
    <row r="291" spans="33:34">
      <c r="AG291" s="24"/>
      <c r="AH291" s="24"/>
    </row>
    <row r="292" spans="33:34">
      <c r="AG292" s="24"/>
      <c r="AH292" s="24"/>
    </row>
    <row r="293" spans="33:34">
      <c r="AG293" s="24"/>
      <c r="AH293" s="24"/>
    </row>
    <row r="294" spans="33:34">
      <c r="AG294" s="24"/>
      <c r="AH294" s="24"/>
    </row>
    <row r="295" spans="33:34">
      <c r="AG295" s="24"/>
      <c r="AH295" s="24"/>
    </row>
    <row r="296" spans="33:34">
      <c r="AG296" s="24"/>
      <c r="AH296" s="24"/>
    </row>
    <row r="297" spans="33:34">
      <c r="AG297" s="24"/>
      <c r="AH297" s="24"/>
    </row>
    <row r="298" spans="33:34">
      <c r="AG298" s="24"/>
      <c r="AH298" s="24"/>
    </row>
    <row r="299" spans="33:34">
      <c r="AG299" s="24"/>
      <c r="AH299" s="24"/>
    </row>
  </sheetData>
  <sheetProtection selectLockedCells="1"/>
  <dataConsolidate link="1"/>
  <pageMargins left="0.23622047244094491" right="0.23622047244094491" top="0.74803149606299213" bottom="0.74803149606299213" header="0.31496062992125984" footer="0.31496062992125984"/>
  <pageSetup paperSize="9" scale="30" fitToHeight="0" orientation="landscape" r:id="rId1"/>
  <headerFooter>
    <oddHeader>&amp;C&amp;"-,Bold"&amp;20&amp;K52796FSimple CRM</oddHeader>
    <oddFooter>&amp;L&amp;"-,Bold"&amp;K52796F Confidential&amp;C&amp;K52796F&amp;D&amp;R&amp;K52796FPage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51F1-0960-4650-BC6D-021B2F78A774}">
  <sheetPr codeName="Sheet2">
    <tabColor theme="7"/>
    <pageSetUpPr fitToPage="1"/>
  </sheetPr>
  <dimension ref="E1:AM7117"/>
  <sheetViews>
    <sheetView showGridLines="0" tabSelected="1" zoomScaleNormal="100" zoomScaleSheetLayoutView="100" workbookViewId="0">
      <pane xSplit="4" topLeftCell="E1" activePane="topRight" state="frozen"/>
      <selection pane="topRight"/>
    </sheetView>
  </sheetViews>
  <sheetFormatPr defaultRowHeight="16.5"/>
  <cols>
    <col min="1" max="4" width="9.140625" style="1"/>
    <col min="5" max="5" width="8.28515625" style="1" customWidth="1"/>
    <col min="6" max="6" width="5.28515625" style="1" customWidth="1"/>
    <col min="7" max="7" width="11.7109375" style="1" customWidth="1"/>
    <col min="8" max="8" width="13.140625" style="1" bestFit="1" customWidth="1"/>
    <col min="9" max="9" width="18.28515625" style="1" bestFit="1" customWidth="1"/>
    <col min="10" max="10" width="11.7109375" style="1" customWidth="1"/>
    <col min="11" max="11" width="38.140625" style="1" customWidth="1"/>
    <col min="12" max="12" width="3.5703125" style="1" customWidth="1"/>
    <col min="13" max="13" width="3.42578125" style="1" customWidth="1"/>
    <col min="14" max="14" width="9.140625" style="1"/>
    <col min="15" max="15" width="12" style="1" customWidth="1"/>
    <col min="16" max="16" width="3.85546875" style="1" customWidth="1"/>
    <col min="17" max="17" width="3.42578125" style="1" customWidth="1"/>
    <col min="18" max="18" width="11.7109375" style="2" customWidth="1"/>
    <col min="19" max="19" width="35.7109375" style="1" customWidth="1"/>
    <col min="20" max="20" width="3.5703125" style="1" customWidth="1"/>
    <col min="21" max="21" width="11.7109375" style="1" customWidth="1"/>
    <col min="22" max="22" width="16.7109375" style="1" customWidth="1"/>
    <col min="23" max="23" width="3.5703125" style="1" customWidth="1"/>
    <col min="24" max="24" width="9.140625" style="1"/>
    <col min="25" max="25" width="14.85546875" style="1" customWidth="1"/>
    <col min="26" max="26" width="3.42578125" style="1" customWidth="1"/>
    <col min="27" max="29" width="9.140625" style="1"/>
    <col min="30" max="30" width="9.140625" style="39"/>
    <col min="31" max="31" width="11.85546875" style="39" bestFit="1" customWidth="1"/>
    <col min="32" max="32" width="15.28515625" style="39" customWidth="1"/>
    <col min="33" max="33" width="12.7109375" style="39" customWidth="1"/>
    <col min="34" max="34" width="12.7109375" style="39" bestFit="1" customWidth="1"/>
    <col min="35" max="38" width="9.140625" style="39"/>
    <col min="39" max="39" width="15.5703125" style="39" bestFit="1" customWidth="1"/>
    <col min="40" max="41" width="9.140625" style="1"/>
    <col min="42" max="42" width="12.7109375" style="1" bestFit="1" customWidth="1"/>
    <col min="43" max="16384" width="9.140625" style="1"/>
  </cols>
  <sheetData>
    <row r="1" spans="5:39" s="6" customFormat="1" ht="48.75" customHeight="1">
      <c r="E1" s="4" t="s">
        <v>1</v>
      </c>
      <c r="F1" s="5"/>
      <c r="G1" s="5"/>
      <c r="H1" s="5"/>
      <c r="I1" s="5"/>
      <c r="J1" s="5"/>
      <c r="K1" s="5"/>
      <c r="L1" s="5"/>
      <c r="M1" s="5"/>
      <c r="P1" s="5"/>
      <c r="Q1" s="5"/>
      <c r="R1" s="19"/>
      <c r="S1" s="5"/>
      <c r="T1" s="5"/>
      <c r="W1" s="5"/>
      <c r="Z1" s="5"/>
      <c r="AD1" s="38"/>
      <c r="AE1" s="38"/>
      <c r="AF1" s="38"/>
      <c r="AG1" s="38"/>
      <c r="AH1" s="38"/>
      <c r="AI1" s="38"/>
      <c r="AJ1" s="38"/>
      <c r="AK1" s="38"/>
      <c r="AL1" s="38"/>
      <c r="AM1" s="38"/>
    </row>
    <row r="2" spans="5:39">
      <c r="R2" s="3"/>
    </row>
    <row r="3" spans="5:39" ht="42.75" customHeight="1" thickBot="1">
      <c r="E3"/>
      <c r="F3" s="30" t="s">
        <v>2</v>
      </c>
      <c r="G3" s="49"/>
      <c r="H3" s="49"/>
      <c r="I3" s="30"/>
      <c r="J3" s="30"/>
      <c r="K3" s="30"/>
      <c r="L3" s="30"/>
      <c r="M3"/>
      <c r="N3"/>
      <c r="P3"/>
      <c r="Q3" s="30" t="s">
        <v>3</v>
      </c>
      <c r="R3" s="31"/>
      <c r="S3" s="31"/>
      <c r="T3" s="30"/>
      <c r="U3" s="31"/>
      <c r="V3" s="31"/>
      <c r="W3" s="31"/>
      <c r="X3" s="30"/>
      <c r="Y3" s="31"/>
      <c r="Z3" s="31"/>
      <c r="AA3"/>
    </row>
    <row r="4" spans="5:39">
      <c r="E4"/>
      <c r="F4" s="10"/>
      <c r="G4" s="10"/>
      <c r="H4" s="10"/>
      <c r="I4" s="10"/>
      <c r="J4" s="10"/>
      <c r="K4" s="10"/>
      <c r="L4" s="10"/>
      <c r="M4"/>
      <c r="N4"/>
      <c r="O4"/>
      <c r="P4"/>
      <c r="Q4" s="10"/>
      <c r="R4" s="20"/>
      <c r="S4" s="10"/>
      <c r="T4" s="10"/>
      <c r="U4" s="10"/>
      <c r="V4" s="10"/>
      <c r="W4" s="10"/>
      <c r="X4" s="10"/>
      <c r="Y4" s="10"/>
      <c r="Z4" s="10"/>
      <c r="AA4"/>
    </row>
    <row r="5" spans="5:39" ht="27" thickBot="1">
      <c r="E5"/>
      <c r="F5" s="10"/>
      <c r="G5" s="11" t="s">
        <v>4</v>
      </c>
      <c r="H5" s="33"/>
      <c r="I5" s="10"/>
      <c r="J5" s="11"/>
      <c r="K5" s="10"/>
      <c r="L5" s="10"/>
      <c r="M5"/>
      <c r="N5"/>
      <c r="O5"/>
      <c r="P5"/>
      <c r="Q5" s="10"/>
      <c r="R5" s="21" t="s">
        <v>5</v>
      </c>
      <c r="S5" s="33"/>
      <c r="T5" s="10"/>
      <c r="U5" s="11" t="s">
        <v>6</v>
      </c>
      <c r="V5" s="33"/>
      <c r="W5" s="10"/>
      <c r="X5" s="11" t="s">
        <v>7</v>
      </c>
      <c r="Y5" s="51">
        <f ca="1">TODAY()</f>
        <v>45986</v>
      </c>
      <c r="Z5" s="10"/>
      <c r="AG5" s="40"/>
    </row>
    <row r="6" spans="5:39" ht="16.5" customHeight="1">
      <c r="E6"/>
      <c r="F6" s="10"/>
      <c r="G6" s="11"/>
      <c r="H6" s="32"/>
      <c r="I6" s="10"/>
      <c r="J6" s="11"/>
      <c r="K6" s="10"/>
      <c r="L6" s="10"/>
      <c r="M6"/>
      <c r="N6"/>
      <c r="O6"/>
      <c r="P6"/>
      <c r="Q6" s="10"/>
      <c r="R6" s="20"/>
      <c r="S6" s="10"/>
      <c r="T6" s="10"/>
      <c r="U6" s="11"/>
      <c r="V6" s="7"/>
      <c r="W6" s="10"/>
      <c r="X6" s="10"/>
      <c r="Y6" s="10"/>
      <c r="Z6" s="10"/>
      <c r="AG6" s="41"/>
    </row>
    <row r="7" spans="5:39" ht="24.75" customHeight="1" thickBot="1">
      <c r="E7"/>
      <c r="F7" s="10"/>
      <c r="G7" s="11" t="s">
        <v>8</v>
      </c>
      <c r="H7" s="137"/>
      <c r="I7" s="137"/>
      <c r="J7" s="137"/>
      <c r="K7" s="137"/>
      <c r="L7" s="10"/>
      <c r="M7"/>
      <c r="N7"/>
      <c r="O7"/>
      <c r="P7"/>
      <c r="Q7" s="10"/>
      <c r="R7" s="11" t="s">
        <v>9</v>
      </c>
      <c r="S7" s="33"/>
      <c r="T7" s="10"/>
      <c r="U7" s="12"/>
      <c r="V7" s="50" t="str">
        <f>IF(AND(S7&gt;"",S5&lt;&gt;"Receipt"),"Purchase Order Only valid for a Receipt","")</f>
        <v/>
      </c>
      <c r="W7" s="11"/>
      <c r="X7" s="11"/>
      <c r="Y7" s="11"/>
      <c r="Z7" s="10"/>
      <c r="AG7" s="40"/>
    </row>
    <row r="8" spans="5:39" ht="16.5" customHeight="1">
      <c r="E8"/>
      <c r="F8" s="10"/>
      <c r="G8" s="11"/>
      <c r="H8" s="7"/>
      <c r="I8" s="10"/>
      <c r="J8" s="11"/>
      <c r="K8" s="10"/>
      <c r="L8" s="10"/>
      <c r="M8"/>
      <c r="N8"/>
      <c r="O8"/>
      <c r="P8"/>
      <c r="Q8" s="10"/>
      <c r="R8" s="20"/>
      <c r="S8" s="10"/>
      <c r="T8" s="10"/>
      <c r="U8" s="11"/>
      <c r="V8" s="11"/>
      <c r="W8" s="11"/>
      <c r="X8" s="11"/>
      <c r="Y8" s="11"/>
      <c r="Z8" s="10"/>
      <c r="AC8" s="26"/>
      <c r="AD8" s="41"/>
      <c r="AE8" s="41"/>
      <c r="AF8" s="41"/>
      <c r="AG8" s="41"/>
    </row>
    <row r="9" spans="5:39" ht="24.75" customHeight="1" thickBot="1">
      <c r="E9"/>
      <c r="F9" s="10"/>
      <c r="G9" s="11" t="s">
        <v>10</v>
      </c>
      <c r="H9" s="33"/>
      <c r="I9" s="75"/>
      <c r="J9" s="11" t="s">
        <v>11</v>
      </c>
      <c r="K9" s="34"/>
      <c r="L9" s="10"/>
      <c r="M9"/>
      <c r="N9"/>
      <c r="O9"/>
      <c r="P9"/>
      <c r="Q9" s="10"/>
      <c r="R9" s="12" t="s">
        <v>12</v>
      </c>
      <c r="S9" s="138"/>
      <c r="T9" s="138"/>
      <c r="U9" s="138"/>
      <c r="V9" s="138"/>
      <c r="W9" s="11"/>
      <c r="X9" s="11"/>
      <c r="Y9" s="11"/>
      <c r="Z9" s="10"/>
    </row>
    <row r="10" spans="5:39" ht="16.5" customHeight="1">
      <c r="E10"/>
      <c r="F10" s="10"/>
      <c r="G10" s="11"/>
      <c r="H10" s="7"/>
      <c r="I10" s="10"/>
      <c r="J10" s="11"/>
      <c r="K10" s="10"/>
      <c r="L10" s="10"/>
      <c r="M10"/>
      <c r="N10"/>
      <c r="O10"/>
      <c r="P10"/>
      <c r="Q10" s="10"/>
      <c r="R10" s="11"/>
      <c r="S10" s="11"/>
      <c r="T10" s="11"/>
      <c r="U10" s="11"/>
      <c r="V10" s="11"/>
      <c r="W10" s="11"/>
      <c r="X10" s="11"/>
      <c r="Y10" s="11"/>
      <c r="Z10" s="10"/>
      <c r="AC10" s="26"/>
      <c r="AD10" s="41"/>
      <c r="AE10" s="41"/>
      <c r="AF10" s="41"/>
      <c r="AG10" s="41"/>
    </row>
    <row r="11" spans="5:39" ht="24.75" customHeight="1" thickBot="1">
      <c r="E11"/>
      <c r="F11" s="10"/>
      <c r="G11" s="11" t="s">
        <v>13</v>
      </c>
      <c r="H11" s="143"/>
      <c r="I11" s="143"/>
      <c r="J11" s="11"/>
      <c r="K11" s="10"/>
      <c r="L11" s="10"/>
      <c r="M11"/>
      <c r="N11"/>
      <c r="O11"/>
      <c r="P11"/>
      <c r="Q11"/>
      <c r="R11"/>
      <c r="S11"/>
      <c r="T11"/>
      <c r="U11"/>
      <c r="V11"/>
      <c r="W11"/>
      <c r="X11"/>
      <c r="Y11"/>
      <c r="Z11"/>
      <c r="AA11"/>
      <c r="AC11" s="26"/>
      <c r="AD11" s="41"/>
      <c r="AE11" s="41"/>
      <c r="AF11" s="41"/>
      <c r="AG11" s="41"/>
    </row>
    <row r="12" spans="5:39" ht="16.5" customHeight="1">
      <c r="E12"/>
      <c r="F12" s="10"/>
      <c r="G12" s="11"/>
      <c r="H12" s="78" t="str" cm="1">
        <f t="array" ref="H12">IF(ISNUMBER($H$11),IF(LEN($H$11)=13,IF(MOD(10-MOD(SUMPRODUCT(MID(LEFT($H$11,12),_xlfn.SEQUENCE(12),1)*(3-2*MOD(_xlfn.SEQUENCE(12),2))),10),10)=VALUE(RIGHT($H$11,1)),"","Invalid Check Digit, should be "&amp;MOD(10-MOD(SUMPRODUCT(MID(LEFT($H$11,12),_xlfn.SEQUENCE(12),1)*(3-2*MOD(_xlfn.SEQUENCE(12),2))),10),10)),"EAN MJST be 13 characters long"),"")</f>
        <v/>
      </c>
      <c r="I12" s="10"/>
      <c r="J12" s="11"/>
      <c r="K12" s="10"/>
      <c r="L12" s="10"/>
      <c r="M12"/>
      <c r="N12"/>
      <c r="O12"/>
      <c r="P12"/>
      <c r="Q12"/>
      <c r="R12"/>
      <c r="S12"/>
      <c r="T12"/>
      <c r="U12"/>
      <c r="V12"/>
      <c r="W12"/>
      <c r="X12"/>
      <c r="Y12"/>
      <c r="Z12"/>
      <c r="AA12"/>
      <c r="AC12" s="26"/>
      <c r="AD12" s="41"/>
      <c r="AE12" s="41"/>
      <c r="AF12" s="41"/>
      <c r="AG12" s="41"/>
    </row>
    <row r="13" spans="5:39" ht="17.25" customHeight="1">
      <c r="E13"/>
      <c r="F13" s="10"/>
      <c r="G13" s="48" t="s">
        <v>14</v>
      </c>
      <c r="H13" s="10"/>
      <c r="I13" s="10"/>
      <c r="J13" s="10"/>
      <c r="K13" s="10"/>
      <c r="L13" s="10"/>
      <c r="M13"/>
      <c r="N13"/>
      <c r="O13"/>
      <c r="P13"/>
      <c r="Q13"/>
      <c r="R13"/>
      <c r="S13"/>
      <c r="T13"/>
      <c r="U13"/>
      <c r="V13"/>
      <c r="W13"/>
      <c r="X13"/>
      <c r="Y13"/>
      <c r="Z13"/>
      <c r="AA13"/>
      <c r="AB13"/>
      <c r="AC13" s="41"/>
      <c r="AD13" s="41"/>
      <c r="AE13" s="41"/>
      <c r="AF13" s="41"/>
      <c r="AG13" s="41"/>
    </row>
    <row r="14" spans="5:39" ht="16.5" customHeight="1">
      <c r="E14"/>
      <c r="F14" s="10"/>
      <c r="G14" s="11"/>
      <c r="H14" s="7"/>
      <c r="I14" s="10"/>
      <c r="J14" s="11"/>
      <c r="K14" s="10"/>
      <c r="L14" s="10"/>
      <c r="M14"/>
      <c r="N14"/>
      <c r="O14"/>
      <c r="P14"/>
      <c r="Q14"/>
      <c r="R14" s="142"/>
      <c r="S14" s="142"/>
      <c r="T14" s="142"/>
      <c r="U14" s="142"/>
      <c r="V14" s="142"/>
      <c r="W14" s="142"/>
      <c r="X14" s="142"/>
      <c r="Y14" s="142"/>
      <c r="Z14"/>
      <c r="AA14"/>
      <c r="AB14"/>
      <c r="AC14" s="39"/>
    </row>
    <row r="15" spans="5:39" ht="24.75" customHeight="1" thickBot="1">
      <c r="E15"/>
      <c r="F15" s="10"/>
      <c r="G15" s="11" t="s">
        <v>15</v>
      </c>
      <c r="H15" s="136"/>
      <c r="I15" s="136"/>
      <c r="J15" s="11"/>
      <c r="K15" s="11"/>
      <c r="L15" s="10"/>
      <c r="M15"/>
      <c r="N15"/>
      <c r="O15"/>
      <c r="P15"/>
      <c r="Q15"/>
      <c r="R15" s="1"/>
      <c r="AC15" s="41"/>
      <c r="AD15" s="41"/>
      <c r="AE15" s="41"/>
      <c r="AF15" s="41"/>
      <c r="AG15" s="41"/>
    </row>
    <row r="16" spans="5:39" ht="16.5" customHeight="1">
      <c r="E16"/>
      <c r="F16" s="10"/>
      <c r="G16" s="11"/>
      <c r="H16" s="7"/>
      <c r="I16" s="10"/>
      <c r="J16" s="11"/>
      <c r="K16" s="10"/>
      <c r="L16" s="10"/>
      <c r="M16"/>
      <c r="N16"/>
      <c r="O16"/>
      <c r="P16"/>
      <c r="Q16"/>
      <c r="R16" s="1"/>
      <c r="Z16"/>
      <c r="AA16"/>
      <c r="AB16"/>
      <c r="AC16" s="39"/>
    </row>
    <row r="17" spans="5:39" ht="24.75" customHeight="1" thickBot="1">
      <c r="E17"/>
      <c r="F17" s="10"/>
      <c r="G17" s="11" t="s">
        <v>16</v>
      </c>
      <c r="H17" s="92"/>
      <c r="I17" s="11"/>
      <c r="J17" s="11" t="s">
        <v>17</v>
      </c>
      <c r="K17" s="95"/>
      <c r="L17" s="10"/>
      <c r="M17"/>
      <c r="N17"/>
      <c r="O17"/>
      <c r="P17"/>
      <c r="Q17" s="3"/>
      <c r="R17" s="1"/>
      <c r="AC17" s="41"/>
      <c r="AD17" s="41"/>
      <c r="AE17" s="41"/>
      <c r="AF17" s="41"/>
      <c r="AG17" s="41"/>
    </row>
    <row r="18" spans="5:39" ht="16.5" customHeight="1">
      <c r="E18"/>
      <c r="F18" s="10"/>
      <c r="G18" s="10"/>
      <c r="H18" s="10"/>
      <c r="I18" s="10"/>
      <c r="J18" s="10"/>
      <c r="K18" s="10"/>
      <c r="L18" s="10"/>
      <c r="M18"/>
      <c r="N18"/>
      <c r="O18"/>
      <c r="P18"/>
      <c r="Q18"/>
      <c r="R18" s="1"/>
      <c r="Z18"/>
      <c r="AA18"/>
      <c r="AB18"/>
      <c r="AC18" s="42"/>
      <c r="AD18" s="42"/>
      <c r="AE18" s="42"/>
    </row>
    <row r="19" spans="5:39" ht="16.5" customHeight="1" thickBot="1">
      <c r="E19"/>
      <c r="F19" s="10"/>
      <c r="G19" s="48" t="s">
        <v>18</v>
      </c>
      <c r="H19" s="10"/>
      <c r="I19" s="10"/>
      <c r="J19" s="10"/>
      <c r="K19" s="10"/>
      <c r="L19" s="10"/>
      <c r="M19"/>
      <c r="N19"/>
      <c r="O19"/>
      <c r="P19"/>
      <c r="Q19" s="3"/>
      <c r="R19" s="71" t="s">
        <v>5</v>
      </c>
      <c r="S19" s="13" t="s">
        <v>19</v>
      </c>
      <c r="T19" s="13"/>
      <c r="U19" s="13" t="s">
        <v>6</v>
      </c>
      <c r="V19" s="22" t="s">
        <v>7</v>
      </c>
      <c r="W19" s="13"/>
      <c r="X19" s="22" t="s">
        <v>12</v>
      </c>
      <c r="Y19" s="22"/>
      <c r="Z19" s="22"/>
      <c r="AA19"/>
      <c r="AB19" s="42"/>
      <c r="AC19" s="42"/>
      <c r="AD19" s="42"/>
      <c r="AE19" s="42"/>
    </row>
    <row r="20" spans="5:39" ht="16.5" customHeight="1">
      <c r="E20"/>
      <c r="F20" s="10"/>
      <c r="G20" s="10"/>
      <c r="H20" s="10"/>
      <c r="I20" s="10"/>
      <c r="J20" s="10"/>
      <c r="K20" s="10"/>
      <c r="L20" s="10"/>
      <c r="M20"/>
      <c r="N20"/>
      <c r="O20"/>
      <c r="P20"/>
      <c r="Q20"/>
      <c r="R20" s="1" t="str" cm="1">
        <f t="array" ref="R20">_xlfn._xlws.FILTER(_xlfn.CHOOSECOLS(movementData[],2,3),movementData[Product '#]=$H$5,"")</f>
        <v/>
      </c>
      <c r="S20" s="63"/>
      <c r="T20"/>
      <c r="U20" s="1" t="str" cm="1">
        <f t="array" ref="U20">_xlfn._xlws.FILTER(_xlfn.CHOOSECOLS(movementData[],4,5),movementData[Product '#]=$H$5,"")</f>
        <v/>
      </c>
      <c r="V20" s="16"/>
      <c r="W20"/>
      <c r="X20" t="str" cm="1">
        <f t="array" ref="X20">_xlfn._xlws.FILTER(movementData[Notes],$H$5=movementData[Product '#],"")</f>
        <v/>
      </c>
      <c r="Y20"/>
      <c r="Z20"/>
      <c r="AA20" t="str" cm="1">
        <f t="array" ref="AA20">_xlfn._xlws.FILTER(movementData[PO],$H$5=movementData[Qty],"")</f>
        <v/>
      </c>
      <c r="AB20" s="39"/>
      <c r="AC20" s="39"/>
    </row>
    <row r="21" spans="5:39" ht="24.75" customHeight="1" thickBot="1">
      <c r="E21"/>
      <c r="F21" s="10"/>
      <c r="G21" s="11" t="s">
        <v>20</v>
      </c>
      <c r="H21" s="96"/>
      <c r="I21" s="10"/>
      <c r="J21" s="11" t="s">
        <v>21</v>
      </c>
      <c r="K21" s="97"/>
      <c r="L21" s="10"/>
      <c r="M21"/>
      <c r="N21"/>
      <c r="O21"/>
      <c r="P21"/>
      <c r="Q21" s="3"/>
      <c r="R21" s="62"/>
      <c r="S21" s="63"/>
      <c r="T21"/>
      <c r="U21"/>
      <c r="V21" s="16"/>
      <c r="W21"/>
      <c r="X21"/>
      <c r="Y21" s="23"/>
      <c r="Z21" s="23"/>
      <c r="AA21"/>
      <c r="AB21" s="42"/>
      <c r="AC21" s="42"/>
      <c r="AD21" s="42"/>
      <c r="AE21" s="100"/>
      <c r="AF21" s="101"/>
      <c r="AG21" s="101"/>
    </row>
    <row r="22" spans="5:39" ht="16.5" customHeight="1">
      <c r="E22"/>
      <c r="F22" s="10"/>
      <c r="G22" s="10"/>
      <c r="H22" s="10"/>
      <c r="I22" s="10"/>
      <c r="J22" s="10"/>
      <c r="K22" s="10"/>
      <c r="L22" s="10"/>
      <c r="M22"/>
      <c r="N22"/>
      <c r="O22"/>
      <c r="P22"/>
      <c r="Q22" s="9"/>
      <c r="R22" s="62"/>
      <c r="S22" s="63"/>
      <c r="T22"/>
      <c r="U22"/>
      <c r="V22" s="16"/>
      <c r="W22"/>
      <c r="X22"/>
      <c r="Y22" s="23"/>
      <c r="Z22" s="23"/>
      <c r="AA22"/>
      <c r="AB22" s="42"/>
      <c r="AC22" s="39"/>
      <c r="AE22" s="101"/>
      <c r="AF22" s="100"/>
      <c r="AG22" s="100"/>
    </row>
    <row r="23" spans="5:39" ht="24.75" customHeight="1" thickBot="1">
      <c r="E23"/>
      <c r="F23" s="10"/>
      <c r="G23" s="11" t="s">
        <v>22</v>
      </c>
      <c r="H23" s="33"/>
      <c r="I23" s="10"/>
      <c r="J23" s="10"/>
      <c r="K23" s="10"/>
      <c r="L23" s="10"/>
      <c r="M23"/>
      <c r="N23"/>
      <c r="O23"/>
      <c r="P23"/>
      <c r="Q23" s="9"/>
      <c r="R23" s="62"/>
      <c r="S23" s="63"/>
      <c r="T23"/>
      <c r="U23"/>
      <c r="V23" s="16"/>
      <c r="W23"/>
      <c r="X23"/>
      <c r="Y23" s="23"/>
      <c r="Z23" s="23"/>
      <c r="AA23"/>
      <c r="AB23" s="42"/>
      <c r="AC23" s="42"/>
      <c r="AD23" s="42"/>
      <c r="AE23" s="100"/>
      <c r="AF23" s="101"/>
      <c r="AG23" s="101"/>
    </row>
    <row r="24" spans="5:39" ht="16.5" customHeight="1">
      <c r="E24"/>
      <c r="F24" s="10"/>
      <c r="G24" s="10"/>
      <c r="H24" s="10"/>
      <c r="I24" s="10"/>
      <c r="J24" s="10"/>
      <c r="K24" s="10"/>
      <c r="L24" s="10"/>
      <c r="M24"/>
      <c r="N24"/>
      <c r="O24"/>
      <c r="P24"/>
      <c r="Q24" s="9"/>
      <c r="R24" s="62"/>
      <c r="S24" s="63"/>
      <c r="T24"/>
      <c r="U24"/>
      <c r="V24" s="16"/>
      <c r="W24"/>
      <c r="X24"/>
      <c r="Y24" s="23"/>
      <c r="Z24" s="23"/>
      <c r="AA24"/>
      <c r="AB24" s="42"/>
      <c r="AC24" s="39"/>
      <c r="AE24" s="101"/>
      <c r="AF24" s="101"/>
      <c r="AG24" s="101"/>
      <c r="AM24" s="1"/>
    </row>
    <row r="25" spans="5:39" ht="24.75" customHeight="1" thickBot="1">
      <c r="E25"/>
      <c r="F25" s="10"/>
      <c r="G25" s="11" t="s">
        <v>23</v>
      </c>
      <c r="H25" s="33"/>
      <c r="I25" s="10"/>
      <c r="J25" s="11" t="s">
        <v>24</v>
      </c>
      <c r="K25" s="96">
        <v>6</v>
      </c>
      <c r="L25" s="10"/>
      <c r="M25"/>
      <c r="N25"/>
      <c r="O25"/>
      <c r="P25"/>
      <c r="Q25" s="9"/>
      <c r="R25" s="62"/>
      <c r="S25" s="63"/>
      <c r="T25"/>
      <c r="U25"/>
      <c r="V25" s="16"/>
      <c r="W25"/>
      <c r="X25"/>
      <c r="Y25" s="23"/>
      <c r="Z25" s="23"/>
      <c r="AA25"/>
      <c r="AB25" s="42"/>
      <c r="AC25" s="39"/>
      <c r="AE25" s="101" t="s">
        <v>25</v>
      </c>
      <c r="AF25" s="101">
        <f>SUMIF(_xlfn.ANCHORARRAY(R20),$AE$25,_xlfn.ANCHORARRAY($U$20))*-1</f>
        <v>0</v>
      </c>
      <c r="AG25" s="101"/>
      <c r="AM25" s="1"/>
    </row>
    <row r="26" spans="5:39" ht="16.5" customHeight="1">
      <c r="E26"/>
      <c r="F26" s="10"/>
      <c r="G26" s="10"/>
      <c r="H26" s="10"/>
      <c r="I26" s="10"/>
      <c r="J26" s="10"/>
      <c r="K26" s="10"/>
      <c r="L26" s="10"/>
      <c r="M26"/>
      <c r="O26"/>
      <c r="P26"/>
      <c r="Q26" s="9"/>
      <c r="R26" s="62"/>
      <c r="S26" s="63"/>
      <c r="T26"/>
      <c r="U26"/>
      <c r="V26" s="16"/>
      <c r="W26"/>
      <c r="X26"/>
      <c r="Y26" s="23"/>
      <c r="Z26" s="23"/>
      <c r="AA26"/>
      <c r="AB26" s="42"/>
      <c r="AC26" s="39"/>
      <c r="AD26" s="42"/>
      <c r="AE26" s="101" t="s">
        <v>26</v>
      </c>
      <c r="AF26" s="101">
        <f>SUMIF(_xlfn.ANCHORARRAY(R20),$AE$26,_xlfn.ANCHORARRAY($U$20))</f>
        <v>0</v>
      </c>
      <c r="AG26" s="101"/>
      <c r="AM26" s="1"/>
    </row>
    <row r="27" spans="5:39" ht="24.75" customHeight="1" thickBot="1">
      <c r="E27"/>
      <c r="F27" s="10"/>
      <c r="G27" s="12" t="s">
        <v>12</v>
      </c>
      <c r="H27" s="138"/>
      <c r="I27" s="138"/>
      <c r="J27" s="138"/>
      <c r="K27" s="138"/>
      <c r="L27" s="10"/>
      <c r="O27"/>
      <c r="P27"/>
      <c r="Q27" s="9"/>
      <c r="R27" s="62"/>
      <c r="S27" s="63"/>
      <c r="T27"/>
      <c r="U27"/>
      <c r="V27" s="16"/>
      <c r="W27"/>
      <c r="X27"/>
      <c r="Y27" s="23"/>
      <c r="Z27" s="23"/>
      <c r="AA27"/>
      <c r="AB27" s="42"/>
      <c r="AC27" s="39"/>
      <c r="AD27" s="46"/>
      <c r="AE27" s="101" t="s">
        <v>27</v>
      </c>
      <c r="AF27" s="101">
        <f>IF(SUMIF(_xlfn.ANCHORARRAY(R20),$AE$27,_xlfn.ANCHORARRAY($U$20))&lt;0,SUMIF(_xlfn.ANCHORARRAY(R20),$AE$27,_xlfn.ANCHORARRAY($U$20))*-1,SUMIF(_xlfn.ANCHORARRAY(R20),$AE$27,_xlfn.ANCHORARRAY($U$20)))</f>
        <v>0</v>
      </c>
      <c r="AG27" s="101"/>
      <c r="AH27" s="64"/>
      <c r="AI27" s="64"/>
      <c r="AJ27" s="64"/>
      <c r="AK27" s="64"/>
      <c r="AL27" s="64"/>
      <c r="AM27" s="1"/>
    </row>
    <row r="28" spans="5:39" ht="16.5" customHeight="1">
      <c r="E28"/>
      <c r="F28" s="10"/>
      <c r="G28" s="10"/>
      <c r="H28" s="10"/>
      <c r="I28" s="10"/>
      <c r="J28" s="10"/>
      <c r="K28" s="10"/>
      <c r="L28" s="10"/>
      <c r="M28"/>
      <c r="O28"/>
      <c r="Q28" s="3"/>
      <c r="S28" s="63"/>
      <c r="T28"/>
      <c r="U28" s="16"/>
      <c r="V28" s="16"/>
      <c r="W28"/>
      <c r="X28"/>
      <c r="Y28" s="23"/>
      <c r="Z28" s="23"/>
      <c r="AA28"/>
      <c r="AB28" s="42"/>
      <c r="AC28" s="39"/>
      <c r="AD28" s="46"/>
      <c r="AE28" s="101"/>
      <c r="AF28" s="101"/>
      <c r="AG28" s="101"/>
      <c r="AH28" s="64"/>
      <c r="AI28" s="64"/>
      <c r="AJ28" s="64"/>
      <c r="AK28" s="64"/>
      <c r="AL28" s="64"/>
      <c r="AM28" s="1"/>
    </row>
    <row r="29" spans="5:39" ht="16.5" customHeight="1">
      <c r="E29"/>
      <c r="M29"/>
      <c r="N29"/>
      <c r="O29"/>
      <c r="P29"/>
      <c r="Q29" s="9"/>
      <c r="R29" s="62"/>
      <c r="S29" s="63"/>
      <c r="T29"/>
      <c r="U29" s="16"/>
      <c r="V29" s="16"/>
      <c r="W29"/>
      <c r="X29"/>
      <c r="Y29" s="23"/>
      <c r="Z29" s="23"/>
      <c r="AA29"/>
      <c r="AB29" s="42"/>
      <c r="AC29" s="39"/>
      <c r="AD29" s="77"/>
      <c r="AE29" s="101"/>
      <c r="AF29" s="101"/>
      <c r="AG29" s="101"/>
      <c r="AH29" s="64"/>
      <c r="AI29" s="64"/>
      <c r="AJ29" s="64"/>
      <c r="AK29" s="64"/>
      <c r="AL29" s="64"/>
      <c r="AM29" s="1"/>
    </row>
    <row r="30" spans="5:39" ht="16.5" customHeight="1">
      <c r="E30"/>
      <c r="F30" s="140" t="s">
        <v>28</v>
      </c>
      <c r="G30" s="140"/>
      <c r="H30" s="140"/>
      <c r="I30" s="140"/>
      <c r="J30" s="140"/>
      <c r="K30" s="140"/>
      <c r="L30" s="140"/>
      <c r="M30"/>
      <c r="N30"/>
      <c r="Q30" s="3"/>
      <c r="R30" s="62"/>
      <c r="S30" s="63"/>
      <c r="T30"/>
      <c r="U30" s="16"/>
      <c r="V30" s="16"/>
      <c r="W30"/>
      <c r="X30"/>
      <c r="Y30" s="23"/>
      <c r="Z30" s="23"/>
      <c r="AA30"/>
      <c r="AB30" s="42"/>
      <c r="AC30" s="39"/>
      <c r="AD30" s="77"/>
      <c r="AE30" s="101"/>
      <c r="AF30" s="101"/>
      <c r="AG30" s="101"/>
      <c r="AH30" s="64"/>
      <c r="AI30" s="64"/>
      <c r="AJ30" s="64"/>
      <c r="AK30" s="64"/>
      <c r="AL30" s="64"/>
      <c r="AM30" s="1"/>
    </row>
    <row r="31" spans="5:39" ht="16.5" customHeight="1">
      <c r="E31"/>
      <c r="F31" s="140"/>
      <c r="G31" s="140"/>
      <c r="H31" s="140"/>
      <c r="I31" s="140"/>
      <c r="J31" s="140"/>
      <c r="K31" s="140"/>
      <c r="L31" s="140"/>
      <c r="M31"/>
      <c r="N31"/>
      <c r="O31"/>
      <c r="Q31" s="3"/>
      <c r="R31" s="62"/>
      <c r="S31" s="63"/>
      <c r="T31"/>
      <c r="U31" s="16"/>
      <c r="V31" s="16"/>
      <c r="W31"/>
      <c r="X31"/>
      <c r="Y31" s="23"/>
      <c r="Z31" s="23"/>
      <c r="AA31"/>
      <c r="AB31" s="42"/>
      <c r="AC31" s="39"/>
      <c r="AD31" s="77"/>
      <c r="AE31" s="101"/>
      <c r="AF31" s="101"/>
      <c r="AG31" s="101"/>
      <c r="AH31" s="64"/>
      <c r="AI31" s="64"/>
      <c r="AJ31" s="64"/>
      <c r="AK31" s="64"/>
      <c r="AL31" s="64"/>
      <c r="AM31" s="1"/>
    </row>
    <row r="32" spans="5:39" ht="16.5" customHeight="1" thickBot="1">
      <c r="F32" s="141"/>
      <c r="G32" s="141"/>
      <c r="H32" s="141"/>
      <c r="I32" s="141"/>
      <c r="J32" s="141"/>
      <c r="K32" s="141"/>
      <c r="L32" s="141"/>
      <c r="N32"/>
      <c r="Q32" s="3"/>
      <c r="R32" s="62"/>
      <c r="S32" s="63"/>
      <c r="T32"/>
      <c r="U32" s="16"/>
      <c r="V32" s="16"/>
      <c r="W32"/>
      <c r="X32"/>
      <c r="Y32" s="23"/>
      <c r="Z32" s="23"/>
      <c r="AA32"/>
      <c r="AB32" s="42"/>
      <c r="AC32" s="39"/>
      <c r="AD32" s="77"/>
      <c r="AE32" s="101"/>
      <c r="AF32" s="101"/>
      <c r="AG32" s="101"/>
      <c r="AH32" s="64"/>
      <c r="AI32" s="64"/>
      <c r="AJ32" s="64"/>
      <c r="AK32" s="64"/>
      <c r="AL32" s="64"/>
      <c r="AM32" s="1"/>
    </row>
    <row r="33" spans="6:39" ht="16.5" customHeight="1">
      <c r="F33" s="10"/>
      <c r="G33" s="135" t="s">
        <v>29</v>
      </c>
      <c r="H33" s="135"/>
      <c r="I33" s="135"/>
      <c r="J33" s="29"/>
      <c r="K33" s="139">
        <f>'Database &amp; Calc'!AH6</f>
        <v>17</v>
      </c>
      <c r="L33" s="10"/>
      <c r="Q33" s="3"/>
      <c r="R33" s="62"/>
      <c r="S33" s="63"/>
      <c r="T33"/>
      <c r="U33" s="16"/>
      <c r="V33" s="16"/>
      <c r="W33"/>
      <c r="X33"/>
      <c r="Y33" s="23"/>
      <c r="Z33" s="23"/>
      <c r="AA33"/>
      <c r="AB33" s="42"/>
      <c r="AC33" s="39"/>
      <c r="AD33" s="64"/>
      <c r="AE33" s="101"/>
      <c r="AF33" s="101"/>
      <c r="AG33" s="101"/>
      <c r="AH33" s="64"/>
      <c r="AI33" s="64"/>
      <c r="AJ33" s="64"/>
      <c r="AK33" s="64"/>
      <c r="AL33" s="64"/>
      <c r="AM33" s="1"/>
    </row>
    <row r="34" spans="6:39" ht="16.5" customHeight="1">
      <c r="F34" s="10"/>
      <c r="G34" s="135"/>
      <c r="H34" s="135"/>
      <c r="I34" s="135"/>
      <c r="J34" s="29"/>
      <c r="K34" s="139"/>
      <c r="L34" s="10"/>
      <c r="Q34" s="3"/>
      <c r="R34" s="62"/>
      <c r="S34" s="63"/>
      <c r="T34"/>
      <c r="U34"/>
      <c r="V34" s="16"/>
      <c r="W34"/>
      <c r="X34"/>
      <c r="Y34" s="23"/>
      <c r="Z34" s="23"/>
      <c r="AA34"/>
      <c r="AB34" s="42"/>
      <c r="AC34" s="39"/>
      <c r="AD34" s="65"/>
      <c r="AE34" s="70"/>
      <c r="AF34" s="64"/>
      <c r="AG34" s="64"/>
      <c r="AH34" s="64"/>
      <c r="AI34" s="64"/>
      <c r="AJ34" s="64"/>
      <c r="AK34" s="64"/>
      <c r="AL34" s="64"/>
      <c r="AM34" s="1"/>
    </row>
    <row r="35" spans="6:39" ht="16.5" customHeight="1">
      <c r="F35" s="10"/>
      <c r="G35" s="135" t="s">
        <v>30</v>
      </c>
      <c r="H35" s="135"/>
      <c r="I35" s="135"/>
      <c r="J35" s="29"/>
      <c r="K35" s="139">
        <f>+'Database &amp; Calc'!AH7</f>
        <v>820.5</v>
      </c>
      <c r="L35" s="28"/>
      <c r="Q35" s="3"/>
      <c r="R35" s="62"/>
      <c r="S35" s="63"/>
      <c r="T35"/>
      <c r="U35"/>
      <c r="V35" s="16"/>
      <c r="W35"/>
      <c r="X35"/>
      <c r="Y35" s="23"/>
      <c r="Z35" s="23"/>
      <c r="AA35"/>
      <c r="AB35" s="42"/>
      <c r="AC35" s="39"/>
      <c r="AD35" s="65"/>
      <c r="AE35" s="70"/>
      <c r="AF35" s="64"/>
      <c r="AG35" s="64"/>
      <c r="AH35" s="64"/>
      <c r="AI35" s="64"/>
      <c r="AJ35" s="64"/>
      <c r="AK35" s="64"/>
      <c r="AL35" s="64"/>
      <c r="AM35" s="1"/>
    </row>
    <row r="36" spans="6:39" ht="16.5" customHeight="1">
      <c r="F36" s="10"/>
      <c r="G36" s="135"/>
      <c r="H36" s="135"/>
      <c r="I36" s="135"/>
      <c r="J36" s="29"/>
      <c r="K36" s="139"/>
      <c r="L36" s="28"/>
      <c r="R36" s="62"/>
      <c r="S36" s="98"/>
      <c r="T36"/>
      <c r="U36"/>
      <c r="V36" s="16"/>
      <c r="W36"/>
      <c r="X36"/>
      <c r="Y36" s="23"/>
      <c r="Z36" s="23"/>
      <c r="AA36"/>
      <c r="AB36" s="42"/>
      <c r="AC36" s="39"/>
      <c r="AD36" s="64"/>
      <c r="AE36" s="64"/>
      <c r="AF36" s="64"/>
      <c r="AG36" s="64"/>
      <c r="AH36" s="64"/>
      <c r="AI36" s="64"/>
      <c r="AJ36" s="64"/>
      <c r="AK36" s="64"/>
      <c r="AL36" s="64"/>
      <c r="AM36" s="1"/>
    </row>
    <row r="37" spans="6:39" ht="16.5" customHeight="1">
      <c r="F37" s="10"/>
      <c r="G37" s="135" t="s">
        <v>31</v>
      </c>
      <c r="H37" s="135"/>
      <c r="I37" s="135"/>
      <c r="J37" s="72"/>
      <c r="K37" s="134">
        <f>+'Database &amp; Calc'!AH8</f>
        <v>2893.9750000000004</v>
      </c>
      <c r="L37" s="10"/>
      <c r="R37" s="62"/>
      <c r="S37" s="63"/>
      <c r="T37"/>
      <c r="V37" s="16"/>
      <c r="W37"/>
      <c r="X37"/>
      <c r="Y37" s="23"/>
      <c r="Z37" s="23"/>
      <c r="AA37"/>
      <c r="AB37" s="42"/>
      <c r="AC37" s="39"/>
      <c r="AD37" s="64"/>
      <c r="AE37" s="64"/>
      <c r="AF37" s="64"/>
      <c r="AG37" s="64"/>
      <c r="AH37" s="64"/>
      <c r="AI37" s="64"/>
      <c r="AJ37" s="64"/>
      <c r="AK37" s="64"/>
      <c r="AL37" s="64"/>
      <c r="AM37" s="1"/>
    </row>
    <row r="38" spans="6:39" ht="16.5" customHeight="1">
      <c r="F38" s="10"/>
      <c r="G38" s="135"/>
      <c r="H38" s="135"/>
      <c r="I38" s="135"/>
      <c r="J38" s="72"/>
      <c r="K38" s="134"/>
      <c r="L38" s="28"/>
      <c r="Q38" s="3"/>
      <c r="R38" s="99"/>
      <c r="S38" s="63"/>
      <c r="T38"/>
      <c r="U38"/>
      <c r="V38" s="16"/>
      <c r="W38"/>
      <c r="X38"/>
      <c r="Y38" s="23"/>
      <c r="Z38" s="23"/>
      <c r="AA38"/>
      <c r="AB38" s="42"/>
      <c r="AC38" s="39"/>
      <c r="AD38" s="64"/>
      <c r="AE38" s="64"/>
      <c r="AF38" s="64"/>
      <c r="AG38" s="64"/>
      <c r="AH38" s="64"/>
      <c r="AI38" s="64"/>
      <c r="AJ38" s="64"/>
      <c r="AK38" s="64"/>
      <c r="AL38" s="64"/>
      <c r="AM38" s="1"/>
    </row>
    <row r="39" spans="6:39" ht="16.5" customHeight="1">
      <c r="Q39" s="3"/>
      <c r="R39" s="62"/>
      <c r="S39" s="63"/>
      <c r="T39"/>
      <c r="U39"/>
      <c r="V39" s="16"/>
      <c r="W39"/>
      <c r="X39"/>
      <c r="Y39" s="23"/>
      <c r="Z39" s="23"/>
      <c r="AA39"/>
      <c r="AB39" s="42"/>
      <c r="AC39" s="39"/>
      <c r="AD39" s="64"/>
      <c r="AE39" s="64"/>
      <c r="AF39" s="64"/>
      <c r="AG39" s="64"/>
      <c r="AH39" s="64"/>
      <c r="AI39" s="64"/>
      <c r="AJ39" s="64"/>
      <c r="AK39" s="64"/>
      <c r="AL39" s="64"/>
      <c r="AM39" s="1"/>
    </row>
    <row r="40" spans="6:39">
      <c r="Q40" s="3"/>
      <c r="V40" s="16"/>
      <c r="W40"/>
      <c r="X40"/>
      <c r="Y40" s="23"/>
      <c r="Z40" s="23"/>
      <c r="AA40"/>
      <c r="AB40" s="42"/>
      <c r="AC40" s="39"/>
      <c r="AD40" s="64"/>
      <c r="AE40" s="64"/>
      <c r="AF40" s="64"/>
      <c r="AG40" s="64"/>
      <c r="AH40" s="64"/>
      <c r="AI40" s="64"/>
      <c r="AJ40" s="64"/>
      <c r="AK40" s="64"/>
      <c r="AL40" s="64"/>
      <c r="AM40" s="1"/>
    </row>
    <row r="41" spans="6:39">
      <c r="Q41" s="3"/>
      <c r="R41" s="1"/>
      <c r="T41"/>
      <c r="U41"/>
      <c r="V41" s="16"/>
      <c r="W41"/>
      <c r="X41"/>
      <c r="Y41" s="23"/>
      <c r="Z41" s="23"/>
      <c r="AA41"/>
      <c r="AB41" s="42"/>
      <c r="AC41" s="39"/>
      <c r="AD41" s="64"/>
      <c r="AE41" s="64"/>
      <c r="AF41" s="64"/>
      <c r="AG41" s="64"/>
      <c r="AH41" s="64"/>
      <c r="AI41" s="64"/>
      <c r="AJ41" s="64"/>
      <c r="AK41" s="64"/>
      <c r="AL41" s="64"/>
      <c r="AM41" s="1"/>
    </row>
    <row r="42" spans="6:39">
      <c r="Q42" s="3"/>
      <c r="R42" s="1"/>
      <c r="T42"/>
      <c r="U42"/>
      <c r="V42" s="16"/>
      <c r="W42"/>
      <c r="X42"/>
      <c r="Y42" s="23"/>
      <c r="Z42" s="23"/>
      <c r="AA42"/>
      <c r="AB42" s="42"/>
      <c r="AC42" s="39"/>
      <c r="AD42" s="64"/>
      <c r="AE42" s="64"/>
      <c r="AF42" s="64"/>
      <c r="AG42" s="64"/>
      <c r="AH42" s="64"/>
      <c r="AI42" s="64"/>
      <c r="AJ42" s="64"/>
      <c r="AK42" s="64"/>
      <c r="AL42" s="64"/>
      <c r="AM42" s="1"/>
    </row>
    <row r="43" spans="6:39">
      <c r="Q43" s="3"/>
      <c r="R43" s="1"/>
      <c r="T43"/>
      <c r="U43"/>
      <c r="V43" s="16"/>
      <c r="W43"/>
      <c r="X43"/>
      <c r="Y43" s="23"/>
      <c r="Z43" s="23"/>
      <c r="AA43"/>
      <c r="AB43" s="42"/>
      <c r="AC43" s="39"/>
      <c r="AD43" s="64"/>
      <c r="AE43" s="64"/>
      <c r="AF43" s="64"/>
      <c r="AG43" s="64"/>
      <c r="AH43" s="64"/>
      <c r="AI43" s="64"/>
      <c r="AJ43" s="64"/>
      <c r="AK43" s="64"/>
      <c r="AL43" s="64"/>
      <c r="AM43" s="1"/>
    </row>
    <row r="44" spans="6:39">
      <c r="Q44" s="3"/>
      <c r="R44" s="1"/>
      <c r="T44"/>
      <c r="U44"/>
      <c r="V44" s="16"/>
      <c r="W44"/>
      <c r="X44"/>
      <c r="Y44" s="23"/>
      <c r="Z44" s="23"/>
      <c r="AA44"/>
      <c r="AB44" s="42"/>
      <c r="AC44" s="39"/>
      <c r="AD44" s="64"/>
      <c r="AE44" s="64"/>
      <c r="AF44" s="64"/>
      <c r="AG44" s="64"/>
      <c r="AH44" s="64"/>
      <c r="AI44" s="64"/>
      <c r="AJ44" s="64"/>
      <c r="AK44" s="64"/>
      <c r="AL44" s="64"/>
      <c r="AM44" s="1"/>
    </row>
    <row r="45" spans="6:39">
      <c r="Q45" s="3"/>
      <c r="R45" s="1"/>
      <c r="T45"/>
      <c r="U45"/>
      <c r="V45" s="16"/>
      <c r="W45"/>
      <c r="X45"/>
      <c r="Y45" s="23"/>
      <c r="Z45" s="23"/>
      <c r="AA45"/>
      <c r="AB45" s="42"/>
      <c r="AC45" s="39"/>
      <c r="AD45" s="64"/>
      <c r="AE45" s="64"/>
      <c r="AF45" s="64"/>
      <c r="AG45" s="64"/>
      <c r="AH45" s="64"/>
      <c r="AI45" s="64"/>
      <c r="AJ45" s="64"/>
      <c r="AK45" s="64"/>
      <c r="AL45" s="64"/>
      <c r="AM45" s="1"/>
    </row>
    <row r="46" spans="6:39">
      <c r="Q46" s="3"/>
      <c r="R46" s="62"/>
      <c r="S46" s="63"/>
      <c r="T46"/>
      <c r="U46"/>
      <c r="V46" s="16"/>
      <c r="W46"/>
      <c r="X46"/>
      <c r="Y46" s="23"/>
      <c r="Z46" s="23"/>
      <c r="AA46"/>
      <c r="AB46" s="42"/>
      <c r="AC46" s="39"/>
      <c r="AD46" s="64"/>
      <c r="AE46" s="64"/>
      <c r="AF46" s="64"/>
      <c r="AG46" s="64"/>
      <c r="AH46" s="64"/>
      <c r="AI46" s="64"/>
      <c r="AJ46" s="64"/>
      <c r="AK46" s="64"/>
      <c r="AL46" s="64"/>
      <c r="AM46" s="1"/>
    </row>
    <row r="47" spans="6:39">
      <c r="Q47" s="3"/>
      <c r="R47" s="62"/>
      <c r="S47" s="63"/>
      <c r="T47"/>
      <c r="U47"/>
      <c r="V47" s="16"/>
      <c r="W47"/>
      <c r="X47"/>
      <c r="Y47" s="23"/>
      <c r="Z47" s="23"/>
      <c r="AA47"/>
      <c r="AB47" s="42"/>
      <c r="AC47" s="39"/>
      <c r="AD47" s="64"/>
      <c r="AE47" s="64"/>
      <c r="AF47" s="64"/>
      <c r="AG47" s="64"/>
      <c r="AH47" s="64"/>
      <c r="AI47" s="64"/>
      <c r="AJ47" s="64"/>
      <c r="AK47" s="64"/>
      <c r="AL47" s="64"/>
      <c r="AM47" s="1"/>
    </row>
    <row r="48" spans="6:39">
      <c r="Q48" s="3"/>
      <c r="R48" s="62"/>
      <c r="S48" s="63"/>
      <c r="T48"/>
      <c r="U48"/>
      <c r="V48" s="16"/>
      <c r="W48"/>
      <c r="X48"/>
      <c r="Y48" s="23"/>
      <c r="Z48" s="23"/>
      <c r="AA48"/>
      <c r="AB48" s="42"/>
      <c r="AC48" s="39"/>
      <c r="AH48" s="1"/>
      <c r="AI48" s="1"/>
      <c r="AJ48" s="1"/>
      <c r="AK48" s="1"/>
      <c r="AL48" s="1"/>
      <c r="AM48" s="1"/>
    </row>
    <row r="49" spans="8:39">
      <c r="Q49" s="3"/>
      <c r="R49" s="62"/>
      <c r="S49" s="63"/>
      <c r="T49"/>
      <c r="U49"/>
      <c r="V49" s="16"/>
      <c r="W49"/>
      <c r="X49"/>
      <c r="Y49" s="23"/>
      <c r="Z49" s="23"/>
      <c r="AA49"/>
      <c r="AB49" s="42"/>
      <c r="AC49" s="39"/>
      <c r="AH49" s="1"/>
      <c r="AI49" s="1"/>
      <c r="AJ49" s="1"/>
      <c r="AK49" s="1"/>
      <c r="AL49" s="1"/>
      <c r="AM49" s="1"/>
    </row>
    <row r="50" spans="8:39">
      <c r="J50"/>
      <c r="Q50" s="3"/>
      <c r="R50" s="62"/>
      <c r="S50" s="63"/>
      <c r="T50"/>
      <c r="U50"/>
      <c r="V50" s="16"/>
      <c r="W50"/>
      <c r="X50"/>
      <c r="Y50" s="23"/>
      <c r="Z50" s="23"/>
      <c r="AA50"/>
      <c r="AB50" s="42"/>
      <c r="AC50" s="39"/>
      <c r="AH50" s="1"/>
      <c r="AI50" s="1"/>
      <c r="AJ50" s="1"/>
      <c r="AK50" s="1"/>
      <c r="AL50" s="1"/>
      <c r="AM50" s="1"/>
    </row>
    <row r="51" spans="8:39">
      <c r="J51"/>
      <c r="Q51" s="3"/>
      <c r="R51" s="62"/>
      <c r="S51" s="63"/>
      <c r="T51"/>
      <c r="U51"/>
      <c r="V51" s="16"/>
      <c r="W51"/>
      <c r="X51"/>
      <c r="Y51" s="23"/>
      <c r="Z51" s="23"/>
      <c r="AA51"/>
      <c r="AB51" s="42"/>
      <c r="AC51" s="39"/>
      <c r="AH51" s="1"/>
      <c r="AI51" s="1"/>
      <c r="AJ51" s="1"/>
      <c r="AK51" s="1"/>
      <c r="AL51" s="1"/>
      <c r="AM51" s="1"/>
    </row>
    <row r="52" spans="8:39">
      <c r="J52"/>
      <c r="Q52" s="3"/>
      <c r="R52" s="62"/>
      <c r="S52" s="63"/>
      <c r="T52"/>
      <c r="U52"/>
      <c r="V52" s="16"/>
      <c r="W52"/>
      <c r="X52"/>
      <c r="Y52" s="23"/>
      <c r="Z52" s="23"/>
      <c r="AA52"/>
      <c r="AB52" s="42"/>
      <c r="AC52" s="39"/>
      <c r="AH52" s="1"/>
      <c r="AI52" s="1"/>
      <c r="AJ52" s="1"/>
      <c r="AK52" s="1"/>
      <c r="AL52" s="1"/>
      <c r="AM52" s="1"/>
    </row>
    <row r="53" spans="8:39">
      <c r="J53"/>
      <c r="Q53" s="3"/>
      <c r="R53" s="62"/>
      <c r="S53" s="63"/>
      <c r="T53"/>
      <c r="U53"/>
      <c r="V53" s="16"/>
      <c r="W53"/>
      <c r="X53"/>
      <c r="Y53" s="23"/>
      <c r="Z53" s="23"/>
      <c r="AA53"/>
      <c r="AB53" s="42"/>
      <c r="AC53" s="39"/>
      <c r="AH53" s="1"/>
      <c r="AI53" s="1"/>
      <c r="AJ53" s="1"/>
      <c r="AK53" s="1"/>
      <c r="AL53" s="1"/>
      <c r="AM53" s="1"/>
    </row>
    <row r="54" spans="8:39">
      <c r="J54"/>
      <c r="Q54" s="3"/>
      <c r="R54" s="62"/>
      <c r="S54" s="63"/>
      <c r="T54"/>
      <c r="U54"/>
      <c r="V54" s="16"/>
      <c r="W54"/>
      <c r="X54"/>
      <c r="Y54" s="23"/>
      <c r="Z54" s="23"/>
      <c r="AA54"/>
      <c r="AB54" s="42"/>
      <c r="AC54" s="39"/>
      <c r="AH54" s="1"/>
      <c r="AI54" s="1"/>
      <c r="AJ54" s="1"/>
      <c r="AK54" s="1"/>
      <c r="AL54" s="1"/>
      <c r="AM54" s="1"/>
    </row>
    <row r="55" spans="8:39">
      <c r="H55"/>
      <c r="I55"/>
      <c r="J55"/>
      <c r="Q55" s="3"/>
      <c r="R55" s="62"/>
      <c r="S55" s="63"/>
      <c r="T55"/>
      <c r="U55"/>
      <c r="V55" s="16"/>
      <c r="W55"/>
      <c r="X55"/>
      <c r="Y55" s="23"/>
      <c r="Z55" s="23"/>
      <c r="AA55"/>
      <c r="AB55" s="42"/>
      <c r="AC55" s="39"/>
      <c r="AH55" s="1"/>
      <c r="AI55" s="1"/>
      <c r="AJ55" s="1"/>
      <c r="AK55" s="1"/>
      <c r="AL55" s="1"/>
      <c r="AM55" s="1"/>
    </row>
    <row r="56" spans="8:39">
      <c r="H56"/>
      <c r="I56"/>
      <c r="J56"/>
      <c r="Q56" s="3"/>
      <c r="R56" s="62"/>
      <c r="S56" s="63"/>
      <c r="T56"/>
      <c r="U56"/>
      <c r="V56" s="16"/>
      <c r="W56"/>
      <c r="X56"/>
      <c r="Y56" s="23"/>
      <c r="Z56" s="23"/>
      <c r="AA56"/>
      <c r="AB56" s="42"/>
      <c r="AC56" s="39"/>
      <c r="AH56" s="1"/>
      <c r="AI56" s="1"/>
      <c r="AJ56" s="1"/>
      <c r="AK56" s="1"/>
      <c r="AL56" s="1"/>
      <c r="AM56" s="1"/>
    </row>
    <row r="57" spans="8:39">
      <c r="H57"/>
      <c r="I57"/>
      <c r="J57"/>
      <c r="Q57" s="3"/>
      <c r="R57" s="62"/>
      <c r="S57" s="63"/>
      <c r="T57"/>
      <c r="U57"/>
      <c r="V57" s="16"/>
      <c r="W57"/>
      <c r="X57"/>
      <c r="Y57" s="23"/>
      <c r="Z57" s="23"/>
      <c r="AA57"/>
      <c r="AB57" s="42"/>
      <c r="AC57" s="39"/>
      <c r="AH57" s="1"/>
      <c r="AI57" s="1"/>
      <c r="AJ57" s="1"/>
      <c r="AK57" s="1"/>
      <c r="AL57" s="1"/>
      <c r="AM57" s="1"/>
    </row>
    <row r="58" spans="8:39">
      <c r="H58"/>
      <c r="I58"/>
      <c r="J58"/>
      <c r="Q58" s="3"/>
      <c r="R58" s="62"/>
      <c r="S58" s="63"/>
      <c r="T58"/>
      <c r="U58"/>
      <c r="V58" s="16"/>
      <c r="W58"/>
      <c r="X58"/>
      <c r="Y58" s="23"/>
      <c r="Z58" s="23"/>
      <c r="AA58"/>
      <c r="AB58" s="42"/>
      <c r="AC58" s="39"/>
      <c r="AH58" s="1"/>
      <c r="AI58" s="1"/>
      <c r="AJ58" s="1"/>
      <c r="AK58" s="1"/>
      <c r="AL58" s="1"/>
      <c r="AM58" s="1"/>
    </row>
    <row r="59" spans="8:39">
      <c r="H59"/>
      <c r="I59"/>
      <c r="J59"/>
      <c r="Q59" s="3"/>
      <c r="R59" s="62"/>
      <c r="S59" s="63"/>
      <c r="T59"/>
      <c r="U59"/>
      <c r="V59" s="16"/>
      <c r="W59"/>
      <c r="X59"/>
      <c r="Y59" s="23"/>
      <c r="Z59" s="23"/>
      <c r="AA59"/>
      <c r="AB59" s="42"/>
      <c r="AC59" s="39"/>
      <c r="AH59" s="1"/>
      <c r="AI59" s="1"/>
      <c r="AJ59" s="1"/>
      <c r="AK59" s="1"/>
      <c r="AL59" s="1"/>
      <c r="AM59" s="1"/>
    </row>
    <row r="60" spans="8:39">
      <c r="H60"/>
      <c r="I60"/>
      <c r="J60"/>
      <c r="Q60" s="3"/>
      <c r="R60" s="62"/>
      <c r="S60" s="63"/>
      <c r="T60"/>
      <c r="U60"/>
      <c r="V60" s="16"/>
      <c r="W60"/>
      <c r="X60"/>
      <c r="Y60" s="23"/>
      <c r="Z60" s="23"/>
      <c r="AA60"/>
      <c r="AB60" s="42"/>
      <c r="AC60" s="39"/>
      <c r="AH60" s="1"/>
      <c r="AI60" s="1"/>
      <c r="AJ60" s="1"/>
      <c r="AK60" s="1"/>
      <c r="AL60" s="1"/>
      <c r="AM60" s="1"/>
    </row>
    <row r="61" spans="8:39">
      <c r="H61"/>
      <c r="I61"/>
      <c r="J61"/>
      <c r="Q61" s="3"/>
      <c r="R61" s="62"/>
      <c r="S61" s="63"/>
      <c r="T61"/>
      <c r="U61"/>
      <c r="V61" s="16"/>
      <c r="W61"/>
      <c r="X61"/>
      <c r="Y61" s="23"/>
      <c r="Z61" s="23"/>
      <c r="AA61"/>
      <c r="AB61" s="42"/>
      <c r="AC61" s="39"/>
      <c r="AH61" s="1"/>
      <c r="AI61" s="1"/>
      <c r="AJ61" s="1"/>
      <c r="AK61" s="1"/>
      <c r="AL61" s="1"/>
      <c r="AM61" s="1"/>
    </row>
    <row r="62" spans="8:39">
      <c r="H62"/>
      <c r="I62"/>
      <c r="J62"/>
      <c r="Q62" s="3"/>
      <c r="R62" s="62"/>
      <c r="S62" s="63"/>
      <c r="T62"/>
      <c r="U62"/>
      <c r="V62" s="16"/>
      <c r="W62"/>
      <c r="X62"/>
      <c r="Y62" s="23"/>
      <c r="Z62" s="23"/>
      <c r="AA62"/>
      <c r="AB62" s="42"/>
      <c r="AC62" s="39"/>
      <c r="AH62" s="1"/>
      <c r="AI62" s="1"/>
      <c r="AJ62" s="1"/>
      <c r="AK62" s="1"/>
      <c r="AL62" s="1"/>
      <c r="AM62" s="1"/>
    </row>
    <row r="63" spans="8:39">
      <c r="H63"/>
      <c r="I63"/>
      <c r="J63"/>
      <c r="Q63" s="3"/>
      <c r="R63" s="62"/>
      <c r="S63" s="63"/>
      <c r="T63"/>
      <c r="U63"/>
      <c r="V63" s="16"/>
      <c r="W63"/>
      <c r="X63"/>
      <c r="Y63" s="23"/>
      <c r="Z63" s="23"/>
      <c r="AA63"/>
      <c r="AB63" s="42"/>
      <c r="AC63" s="39"/>
      <c r="AH63" s="1"/>
      <c r="AI63" s="1"/>
      <c r="AJ63" s="1"/>
      <c r="AK63" s="1"/>
      <c r="AL63" s="1"/>
      <c r="AM63" s="1"/>
    </row>
    <row r="64" spans="8:39">
      <c r="H64"/>
      <c r="I64"/>
      <c r="J64"/>
      <c r="Q64" s="3"/>
      <c r="R64" s="62"/>
      <c r="S64" s="63"/>
      <c r="T64"/>
      <c r="U64"/>
      <c r="V64" s="16"/>
      <c r="W64"/>
      <c r="X64"/>
      <c r="Y64" s="23"/>
      <c r="Z64" s="23"/>
      <c r="AA64"/>
      <c r="AB64" s="42"/>
      <c r="AC64" s="39"/>
      <c r="AH64" s="1"/>
      <c r="AI64" s="1"/>
      <c r="AJ64" s="1"/>
      <c r="AK64" s="1"/>
      <c r="AL64" s="1"/>
      <c r="AM64" s="1"/>
    </row>
    <row r="65" spans="8:39">
      <c r="H65"/>
      <c r="I65"/>
      <c r="J65"/>
      <c r="Q65" s="3"/>
      <c r="R65" s="62"/>
      <c r="S65" s="63"/>
      <c r="T65"/>
      <c r="U65"/>
      <c r="V65" s="16"/>
      <c r="W65"/>
      <c r="X65"/>
      <c r="Y65" s="23"/>
      <c r="Z65" s="23"/>
      <c r="AA65"/>
      <c r="AB65" s="42"/>
      <c r="AC65" s="39"/>
      <c r="AH65" s="1"/>
      <c r="AI65" s="1"/>
      <c r="AJ65" s="1"/>
      <c r="AK65" s="1"/>
      <c r="AL65" s="1"/>
      <c r="AM65" s="1"/>
    </row>
    <row r="66" spans="8:39">
      <c r="Q66" s="3"/>
      <c r="R66" s="62"/>
      <c r="S66" s="63"/>
      <c r="T66"/>
      <c r="U66"/>
      <c r="V66" s="16"/>
      <c r="W66"/>
      <c r="X66"/>
      <c r="Y66" s="23"/>
      <c r="Z66" s="23"/>
      <c r="AA66"/>
      <c r="AB66" s="42"/>
      <c r="AC66" s="39"/>
      <c r="AH66" s="1"/>
      <c r="AI66" s="1"/>
      <c r="AJ66" s="1"/>
      <c r="AK66" s="1"/>
      <c r="AL66" s="1"/>
      <c r="AM66" s="1"/>
    </row>
    <row r="67" spans="8:39">
      <c r="Q67" s="3"/>
      <c r="R67" s="62"/>
      <c r="S67" s="63"/>
      <c r="T67"/>
      <c r="U67"/>
      <c r="V67" s="16"/>
      <c r="W67"/>
      <c r="X67"/>
      <c r="Y67" s="23"/>
      <c r="Z67" s="23"/>
      <c r="AA67"/>
      <c r="AB67" s="42"/>
      <c r="AC67" s="39"/>
      <c r="AH67" s="1"/>
      <c r="AI67" s="1"/>
      <c r="AJ67" s="1"/>
      <c r="AK67" s="1"/>
      <c r="AL67" s="1"/>
      <c r="AM67" s="1"/>
    </row>
    <row r="68" spans="8:39">
      <c r="Q68" s="3"/>
      <c r="R68" s="62"/>
      <c r="S68" s="63"/>
      <c r="T68"/>
      <c r="U68"/>
      <c r="V68" s="16"/>
      <c r="W68"/>
      <c r="X68"/>
      <c r="Y68" s="23"/>
      <c r="Z68" s="23"/>
      <c r="AA68"/>
      <c r="AB68" s="42"/>
      <c r="AC68" s="39"/>
      <c r="AH68" s="1"/>
      <c r="AI68" s="1"/>
      <c r="AJ68" s="1"/>
      <c r="AK68" s="1"/>
      <c r="AL68" s="1"/>
      <c r="AM68" s="1"/>
    </row>
    <row r="69" spans="8:39">
      <c r="Q69" s="3"/>
      <c r="R69" s="62"/>
      <c r="S69" s="63"/>
      <c r="T69"/>
      <c r="U69"/>
      <c r="V69" s="16"/>
      <c r="W69"/>
      <c r="X69"/>
      <c r="Y69" s="23"/>
      <c r="Z69" s="23"/>
      <c r="AA69"/>
      <c r="AB69" s="42"/>
      <c r="AC69" s="39"/>
      <c r="AH69" s="1"/>
      <c r="AI69" s="1"/>
      <c r="AJ69" s="1"/>
      <c r="AK69" s="1"/>
      <c r="AL69" s="1"/>
      <c r="AM69" s="1"/>
    </row>
    <row r="70" spans="8:39">
      <c r="Q70" s="3"/>
      <c r="R70" s="62"/>
      <c r="S70" s="63"/>
      <c r="T70"/>
      <c r="U70"/>
      <c r="V70" s="16"/>
      <c r="W70"/>
      <c r="X70"/>
      <c r="Y70" s="23"/>
      <c r="Z70" s="23"/>
      <c r="AA70"/>
      <c r="AB70" s="42"/>
      <c r="AC70" s="39"/>
      <c r="AH70" s="1"/>
      <c r="AI70" s="1"/>
      <c r="AJ70" s="1"/>
      <c r="AK70" s="1"/>
      <c r="AL70" s="1"/>
      <c r="AM70" s="1"/>
    </row>
    <row r="71" spans="8:39">
      <c r="Q71" s="3"/>
      <c r="R71" s="62"/>
      <c r="S71" s="63"/>
      <c r="T71"/>
      <c r="U71"/>
      <c r="V71" s="16"/>
      <c r="W71"/>
      <c r="X71"/>
      <c r="Y71" s="23"/>
      <c r="Z71" s="23"/>
      <c r="AA71"/>
      <c r="AB71" s="42"/>
      <c r="AC71" s="39"/>
      <c r="AH71" s="1"/>
      <c r="AI71" s="1"/>
      <c r="AJ71" s="1"/>
      <c r="AK71" s="1"/>
      <c r="AL71" s="1"/>
      <c r="AM71" s="1"/>
    </row>
    <row r="72" spans="8:39">
      <c r="Q72" s="3"/>
      <c r="R72" s="62"/>
      <c r="S72" s="63"/>
      <c r="T72"/>
      <c r="U72"/>
      <c r="V72" s="16"/>
      <c r="W72"/>
      <c r="X72"/>
      <c r="Y72" s="23"/>
      <c r="Z72" s="23"/>
      <c r="AA72"/>
      <c r="AB72" s="42"/>
      <c r="AC72" s="39"/>
      <c r="AH72" s="1"/>
      <c r="AI72" s="1"/>
      <c r="AJ72" s="1"/>
      <c r="AK72" s="1"/>
      <c r="AL72" s="1"/>
      <c r="AM72" s="1"/>
    </row>
    <row r="73" spans="8:39">
      <c r="Q73" s="3"/>
      <c r="R73" s="62"/>
      <c r="S73" s="63"/>
      <c r="T73"/>
      <c r="U73"/>
      <c r="V73" s="16"/>
      <c r="W73"/>
      <c r="X73"/>
      <c r="Y73" s="23"/>
      <c r="Z73" s="23"/>
      <c r="AA73"/>
      <c r="AB73" s="42"/>
      <c r="AC73" s="39"/>
      <c r="AH73" s="1"/>
      <c r="AI73" s="1"/>
      <c r="AJ73" s="1"/>
      <c r="AK73" s="1"/>
      <c r="AL73" s="1"/>
      <c r="AM73" s="1"/>
    </row>
    <row r="74" spans="8:39">
      <c r="Q74" s="3"/>
      <c r="R74" s="62"/>
      <c r="S74" s="63"/>
      <c r="T74"/>
      <c r="U74"/>
      <c r="V74" s="16"/>
      <c r="W74"/>
      <c r="X74"/>
      <c r="Y74" s="23"/>
      <c r="Z74" s="23"/>
      <c r="AA74"/>
      <c r="AB74" s="42"/>
      <c r="AC74" s="39"/>
      <c r="AH74" s="1"/>
      <c r="AI74" s="1"/>
      <c r="AJ74" s="1"/>
      <c r="AK74" s="1"/>
      <c r="AL74" s="1"/>
      <c r="AM74" s="1"/>
    </row>
    <row r="75" spans="8:39">
      <c r="Q75" s="3"/>
      <c r="R75" s="62"/>
      <c r="S75" s="63"/>
      <c r="T75"/>
      <c r="U75"/>
      <c r="V75" s="16"/>
      <c r="W75"/>
      <c r="X75"/>
      <c r="Y75" s="23"/>
      <c r="Z75" s="23"/>
      <c r="AA75"/>
      <c r="AB75" s="42"/>
      <c r="AC75" s="39"/>
      <c r="AH75" s="1"/>
      <c r="AI75" s="1"/>
      <c r="AJ75" s="1"/>
      <c r="AK75" s="1"/>
      <c r="AL75" s="1"/>
      <c r="AM75" s="1"/>
    </row>
    <row r="76" spans="8:39">
      <c r="Q76" s="3"/>
      <c r="R76" s="62"/>
      <c r="S76" s="63"/>
      <c r="T76"/>
      <c r="U76"/>
      <c r="V76" s="16"/>
      <c r="W76"/>
      <c r="X76"/>
      <c r="Y76" s="23"/>
      <c r="Z76" s="23"/>
      <c r="AA76"/>
      <c r="AB76" s="42"/>
      <c r="AC76" s="39"/>
      <c r="AH76" s="1"/>
      <c r="AI76" s="1"/>
      <c r="AJ76" s="1"/>
      <c r="AK76" s="1"/>
      <c r="AL76" s="1"/>
      <c r="AM76" s="1"/>
    </row>
    <row r="77" spans="8:39">
      <c r="Q77" s="3"/>
      <c r="R77" s="62"/>
      <c r="S77" s="63"/>
      <c r="T77"/>
      <c r="U77"/>
      <c r="V77" s="16"/>
      <c r="W77"/>
      <c r="X77"/>
      <c r="Y77" s="23"/>
      <c r="Z77" s="23"/>
      <c r="AA77"/>
      <c r="AB77" s="42"/>
      <c r="AC77" s="39"/>
      <c r="AH77" s="1"/>
      <c r="AI77" s="1"/>
      <c r="AJ77" s="1"/>
      <c r="AK77" s="1"/>
      <c r="AL77" s="1"/>
      <c r="AM77" s="1"/>
    </row>
    <row r="78" spans="8:39">
      <c r="Q78" s="3"/>
      <c r="R78" s="62"/>
      <c r="S78" s="63"/>
      <c r="T78"/>
      <c r="U78"/>
      <c r="V78" s="16"/>
      <c r="W78"/>
      <c r="X78"/>
      <c r="Y78" s="23"/>
      <c r="Z78" s="23"/>
      <c r="AA78"/>
      <c r="AB78" s="42"/>
      <c r="AC78" s="39"/>
      <c r="AH78" s="1"/>
      <c r="AI78" s="1"/>
      <c r="AJ78" s="1"/>
      <c r="AK78" s="1"/>
      <c r="AL78" s="1"/>
      <c r="AM78" s="1"/>
    </row>
    <row r="79" spans="8:39">
      <c r="Q79" s="3"/>
      <c r="R79" s="62"/>
      <c r="S79" s="63"/>
      <c r="T79"/>
      <c r="U79"/>
      <c r="V79" s="16"/>
      <c r="W79"/>
      <c r="X79"/>
      <c r="Y79" s="23"/>
      <c r="Z79" s="23"/>
      <c r="AA79"/>
      <c r="AB79" s="42"/>
      <c r="AC79" s="39"/>
      <c r="AH79" s="1"/>
      <c r="AI79" s="1"/>
      <c r="AJ79" s="1"/>
      <c r="AK79" s="1"/>
      <c r="AL79" s="1"/>
      <c r="AM79" s="1"/>
    </row>
    <row r="80" spans="8:39">
      <c r="Q80" s="3"/>
      <c r="R80" s="62"/>
      <c r="S80" s="63"/>
      <c r="T80"/>
      <c r="U80"/>
      <c r="V80" s="16"/>
      <c r="W80"/>
      <c r="X80"/>
      <c r="Y80" s="23"/>
      <c r="Z80" s="23"/>
      <c r="AA80"/>
      <c r="AB80" s="42"/>
      <c r="AC80" s="39"/>
      <c r="AH80" s="1"/>
      <c r="AI80" s="1"/>
      <c r="AJ80" s="1"/>
      <c r="AK80" s="1"/>
      <c r="AL80" s="1"/>
      <c r="AM80" s="1"/>
    </row>
    <row r="81" spans="17:39">
      <c r="Q81" s="3"/>
      <c r="R81" s="62"/>
      <c r="S81" s="63"/>
      <c r="T81"/>
      <c r="U81"/>
      <c r="V81" s="16"/>
      <c r="W81"/>
      <c r="X81"/>
      <c r="Y81" s="23"/>
      <c r="Z81" s="23"/>
      <c r="AA81"/>
      <c r="AB81" s="42"/>
      <c r="AC81" s="39"/>
      <c r="AH81" s="1"/>
      <c r="AI81" s="1"/>
      <c r="AJ81" s="1"/>
      <c r="AK81" s="1"/>
      <c r="AL81" s="1"/>
      <c r="AM81" s="1"/>
    </row>
    <row r="82" spans="17:39">
      <c r="Q82" s="3"/>
      <c r="R82" s="62"/>
      <c r="S82" s="63"/>
      <c r="T82"/>
      <c r="U82"/>
      <c r="V82" s="16"/>
      <c r="W82"/>
      <c r="X82"/>
      <c r="Y82" s="23"/>
      <c r="Z82" s="23"/>
      <c r="AA82"/>
      <c r="AB82" s="42"/>
      <c r="AC82" s="39"/>
      <c r="AH82" s="1"/>
      <c r="AI82" s="1"/>
      <c r="AJ82" s="1"/>
      <c r="AK82" s="1"/>
      <c r="AL82" s="1"/>
      <c r="AM82" s="1"/>
    </row>
    <row r="83" spans="17:39">
      <c r="Q83" s="3"/>
      <c r="R83" s="62"/>
      <c r="S83" s="63"/>
      <c r="T83"/>
      <c r="U83"/>
      <c r="V83" s="16"/>
      <c r="W83"/>
      <c r="X83"/>
      <c r="Y83" s="23"/>
      <c r="Z83" s="23"/>
      <c r="AA83"/>
      <c r="AB83" s="42"/>
      <c r="AC83" s="39"/>
      <c r="AH83" s="1"/>
      <c r="AI83" s="1"/>
      <c r="AJ83" s="1"/>
      <c r="AK83" s="1"/>
      <c r="AL83" s="1"/>
      <c r="AM83" s="1"/>
    </row>
    <row r="84" spans="17:39">
      <c r="Q84" s="3"/>
      <c r="R84" s="62"/>
      <c r="S84" s="63"/>
      <c r="T84"/>
      <c r="U84"/>
      <c r="V84" s="16"/>
      <c r="W84"/>
      <c r="X84"/>
      <c r="Y84" s="23"/>
      <c r="Z84" s="23"/>
      <c r="AA84"/>
      <c r="AB84" s="42"/>
      <c r="AC84" s="39"/>
      <c r="AH84" s="1"/>
      <c r="AI84" s="1"/>
      <c r="AJ84" s="1"/>
      <c r="AK84" s="1"/>
      <c r="AL84" s="1"/>
      <c r="AM84" s="1"/>
    </row>
    <row r="85" spans="17:39">
      <c r="Q85" s="3"/>
      <c r="R85" s="62"/>
      <c r="S85" s="63"/>
      <c r="T85"/>
      <c r="U85"/>
      <c r="V85" s="16"/>
      <c r="W85"/>
      <c r="X85"/>
      <c r="Y85" s="23"/>
      <c r="Z85" s="23"/>
      <c r="AA85"/>
      <c r="AB85" s="42"/>
      <c r="AC85" s="39"/>
      <c r="AH85" s="1"/>
      <c r="AI85" s="1"/>
      <c r="AJ85" s="1"/>
      <c r="AK85" s="1"/>
      <c r="AL85" s="1"/>
      <c r="AM85" s="1"/>
    </row>
    <row r="86" spans="17:39">
      <c r="Q86" s="3"/>
      <c r="R86" s="62"/>
      <c r="S86" s="63"/>
      <c r="T86"/>
      <c r="U86"/>
      <c r="V86" s="16"/>
      <c r="W86"/>
      <c r="X86"/>
      <c r="Y86" s="23"/>
      <c r="Z86" s="23"/>
      <c r="AA86"/>
      <c r="AB86" s="42"/>
      <c r="AC86" s="39"/>
      <c r="AH86" s="1"/>
      <c r="AI86" s="1"/>
      <c r="AJ86" s="1"/>
      <c r="AK86" s="1"/>
      <c r="AL86" s="1"/>
      <c r="AM86" s="1"/>
    </row>
    <row r="87" spans="17:39">
      <c r="Q87" s="3"/>
      <c r="R87" s="62"/>
      <c r="S87" s="63"/>
      <c r="T87"/>
      <c r="U87"/>
      <c r="V87" s="16"/>
      <c r="W87"/>
      <c r="X87"/>
      <c r="Y87" s="23"/>
      <c r="Z87" s="23"/>
      <c r="AA87"/>
      <c r="AB87" s="42"/>
      <c r="AC87" s="39"/>
      <c r="AH87" s="1"/>
      <c r="AI87" s="1"/>
      <c r="AJ87" s="1"/>
      <c r="AK87" s="1"/>
      <c r="AL87" s="1"/>
      <c r="AM87" s="1"/>
    </row>
    <row r="88" spans="17:39">
      <c r="Q88" s="3"/>
      <c r="R88" s="62"/>
      <c r="S88" s="63"/>
      <c r="T88"/>
      <c r="U88"/>
      <c r="V88" s="16"/>
      <c r="W88"/>
      <c r="X88"/>
      <c r="Y88" s="23"/>
      <c r="Z88" s="23"/>
      <c r="AA88"/>
      <c r="AB88" s="42"/>
      <c r="AC88" s="39"/>
      <c r="AH88" s="1"/>
      <c r="AI88" s="1"/>
      <c r="AJ88" s="1"/>
      <c r="AK88" s="1"/>
      <c r="AL88" s="1"/>
      <c r="AM88" s="1"/>
    </row>
    <row r="89" spans="17:39">
      <c r="Q89" s="3"/>
      <c r="R89" s="62"/>
      <c r="S89" s="63"/>
      <c r="T89"/>
      <c r="U89"/>
      <c r="V89" s="16"/>
      <c r="W89"/>
      <c r="X89"/>
      <c r="Y89" s="23"/>
      <c r="Z89" s="23"/>
      <c r="AA89"/>
      <c r="AB89" s="42"/>
      <c r="AC89" s="39"/>
      <c r="AH89" s="1"/>
      <c r="AI89" s="1"/>
      <c r="AJ89" s="1"/>
      <c r="AK89" s="1"/>
      <c r="AL89" s="1"/>
      <c r="AM89" s="1"/>
    </row>
    <row r="90" spans="17:39">
      <c r="Q90" s="3"/>
      <c r="R90" s="62"/>
      <c r="S90" s="63"/>
      <c r="T90"/>
      <c r="U90"/>
      <c r="V90" s="16"/>
      <c r="W90"/>
      <c r="X90"/>
      <c r="Y90" s="23"/>
      <c r="Z90" s="23"/>
      <c r="AA90"/>
      <c r="AB90" s="42"/>
      <c r="AC90" s="39"/>
      <c r="AH90" s="1"/>
      <c r="AI90" s="1"/>
      <c r="AJ90" s="1"/>
      <c r="AK90" s="1"/>
      <c r="AL90" s="1"/>
      <c r="AM90" s="1"/>
    </row>
    <row r="91" spans="17:39">
      <c r="Q91" s="3"/>
      <c r="R91" s="62"/>
      <c r="S91" s="63"/>
      <c r="T91"/>
      <c r="U91"/>
      <c r="V91" s="16"/>
      <c r="W91"/>
      <c r="X91"/>
      <c r="Y91" s="23"/>
      <c r="Z91" s="23"/>
      <c r="AA91"/>
      <c r="AB91" s="42"/>
      <c r="AC91" s="39"/>
      <c r="AH91" s="1"/>
      <c r="AI91" s="1"/>
      <c r="AJ91" s="1"/>
      <c r="AK91" s="1"/>
      <c r="AL91" s="1"/>
      <c r="AM91" s="1"/>
    </row>
    <row r="92" spans="17:39">
      <c r="Q92" s="3"/>
      <c r="R92" s="62"/>
      <c r="S92" s="63"/>
      <c r="T92"/>
      <c r="U92"/>
      <c r="V92" s="16"/>
      <c r="W92"/>
      <c r="X92"/>
      <c r="Y92" s="23"/>
      <c r="Z92" s="23"/>
      <c r="AA92" s="23"/>
      <c r="AB92" s="23"/>
      <c r="AC92" s="39"/>
      <c r="AH92" s="1"/>
      <c r="AI92" s="1"/>
      <c r="AJ92" s="1"/>
      <c r="AK92" s="1"/>
      <c r="AL92" s="1"/>
      <c r="AM92" s="1"/>
    </row>
    <row r="93" spans="17:39">
      <c r="Q93" s="3"/>
      <c r="R93" s="62"/>
      <c r="S93" s="63"/>
      <c r="T93"/>
      <c r="U93"/>
      <c r="V93" s="16"/>
      <c r="W93"/>
      <c r="X93"/>
      <c r="Y93" s="23"/>
      <c r="Z93" s="23"/>
      <c r="AA93" s="23"/>
      <c r="AB93" s="23"/>
      <c r="AC93" s="39"/>
      <c r="AH93" s="1"/>
      <c r="AI93" s="1"/>
      <c r="AJ93" s="1"/>
      <c r="AK93" s="1"/>
      <c r="AL93" s="1"/>
      <c r="AM93" s="1"/>
    </row>
    <row r="94" spans="17:39">
      <c r="Q94" s="3"/>
      <c r="R94" s="62"/>
      <c r="S94" s="63"/>
      <c r="T94"/>
      <c r="U94"/>
      <c r="V94" s="16"/>
      <c r="W94"/>
      <c r="X94"/>
      <c r="Y94" s="23"/>
      <c r="Z94" s="23"/>
      <c r="AA94" s="23"/>
      <c r="AB94" s="23"/>
      <c r="AC94" s="39"/>
      <c r="AH94" s="1"/>
      <c r="AI94" s="1"/>
      <c r="AJ94" s="1"/>
      <c r="AK94" s="1"/>
      <c r="AL94" s="1"/>
      <c r="AM94" s="1"/>
    </row>
    <row r="95" spans="17:39">
      <c r="Q95" s="3"/>
      <c r="R95" s="62"/>
      <c r="S95" s="63"/>
      <c r="T95"/>
      <c r="U95"/>
      <c r="V95" s="16"/>
      <c r="W95"/>
      <c r="X95"/>
      <c r="Y95" s="23"/>
      <c r="Z95" s="23"/>
      <c r="AA95" s="23"/>
      <c r="AB95" s="23"/>
      <c r="AC95" s="39"/>
      <c r="AH95" s="1"/>
      <c r="AI95" s="1"/>
      <c r="AJ95" s="1"/>
      <c r="AK95" s="1"/>
      <c r="AL95" s="1"/>
      <c r="AM95" s="1"/>
    </row>
    <row r="96" spans="17:39">
      <c r="Q96" s="3"/>
      <c r="R96" s="62"/>
      <c r="S96" s="63"/>
      <c r="T96"/>
      <c r="U96"/>
      <c r="V96" s="16"/>
      <c r="W96"/>
      <c r="X96"/>
      <c r="Y96" s="23"/>
      <c r="Z96" s="23"/>
      <c r="AA96" s="23"/>
      <c r="AB96" s="23"/>
      <c r="AC96" s="39"/>
      <c r="AH96" s="1"/>
      <c r="AI96" s="1"/>
      <c r="AJ96" s="1"/>
      <c r="AK96" s="1"/>
      <c r="AL96" s="1"/>
      <c r="AM96" s="1"/>
    </row>
    <row r="97" spans="17:39">
      <c r="Q97" s="3"/>
      <c r="R97" s="62"/>
      <c r="S97" s="63"/>
      <c r="T97"/>
      <c r="U97"/>
      <c r="V97" s="16"/>
      <c r="W97"/>
      <c r="X97"/>
      <c r="Y97" s="23"/>
      <c r="Z97" s="23"/>
      <c r="AA97" s="23"/>
      <c r="AB97" s="23"/>
      <c r="AC97" s="39"/>
      <c r="AI97" s="1"/>
      <c r="AJ97" s="1"/>
      <c r="AK97" s="1"/>
      <c r="AL97" s="1"/>
      <c r="AM97" s="1"/>
    </row>
    <row r="98" spans="17:39">
      <c r="Q98" s="3"/>
      <c r="R98" s="62"/>
      <c r="S98" s="63"/>
      <c r="T98"/>
      <c r="U98"/>
      <c r="V98" s="16"/>
      <c r="W98"/>
      <c r="X98"/>
      <c r="Y98" s="23"/>
      <c r="Z98" s="23"/>
      <c r="AA98" s="23"/>
      <c r="AB98" s="23"/>
      <c r="AC98" s="39"/>
      <c r="AI98" s="1"/>
      <c r="AJ98" s="1"/>
      <c r="AK98" s="1"/>
      <c r="AL98" s="1"/>
      <c r="AM98" s="1"/>
    </row>
    <row r="99" spans="17:39">
      <c r="Q99" s="3"/>
      <c r="R99" s="62"/>
      <c r="S99" s="63"/>
      <c r="T99"/>
      <c r="U99"/>
      <c r="V99" s="16"/>
      <c r="W99"/>
      <c r="X99"/>
      <c r="Y99" s="23"/>
      <c r="Z99" s="23"/>
      <c r="AA99" s="23"/>
      <c r="AB99" s="23"/>
      <c r="AC99" s="39"/>
      <c r="AI99" s="1"/>
      <c r="AJ99" s="1"/>
      <c r="AK99" s="1"/>
      <c r="AL99" s="1"/>
      <c r="AM99" s="1"/>
    </row>
    <row r="100" spans="17:39">
      <c r="Q100" s="3"/>
      <c r="R100" s="62"/>
      <c r="S100" s="63"/>
      <c r="T100"/>
      <c r="U100"/>
      <c r="V100" s="16"/>
      <c r="W100"/>
      <c r="X100"/>
      <c r="Y100" s="23"/>
      <c r="Z100" s="23"/>
      <c r="AA100" s="23"/>
      <c r="AB100" s="23"/>
      <c r="AC100" s="39"/>
      <c r="AI100" s="1"/>
      <c r="AJ100" s="1"/>
      <c r="AK100" s="1"/>
      <c r="AL100" s="1"/>
      <c r="AM100" s="1"/>
    </row>
    <row r="101" spans="17:39">
      <c r="Q101" s="3"/>
      <c r="R101" s="62"/>
      <c r="S101" s="63"/>
      <c r="T101"/>
      <c r="U101"/>
      <c r="V101" s="16"/>
      <c r="W101"/>
      <c r="X101"/>
      <c r="Y101" s="23"/>
      <c r="Z101" s="23"/>
      <c r="AA101" s="23"/>
      <c r="AB101" s="23"/>
      <c r="AC101" s="39"/>
      <c r="AI101" s="1"/>
      <c r="AJ101" s="1"/>
      <c r="AK101" s="1"/>
      <c r="AL101" s="1"/>
      <c r="AM101" s="1"/>
    </row>
    <row r="102" spans="17:39">
      <c r="Q102" s="3"/>
      <c r="R102" s="62"/>
      <c r="S102" s="63"/>
      <c r="T102"/>
      <c r="U102"/>
      <c r="V102" s="16"/>
      <c r="W102"/>
      <c r="X102"/>
      <c r="Y102" s="23"/>
      <c r="Z102" s="23"/>
      <c r="AA102" s="23"/>
      <c r="AB102" s="23"/>
      <c r="AC102" s="39"/>
      <c r="AI102" s="1"/>
      <c r="AJ102" s="1"/>
      <c r="AK102" s="1"/>
      <c r="AL102" s="1"/>
      <c r="AM102" s="1"/>
    </row>
    <row r="103" spans="17:39">
      <c r="Q103" s="3"/>
      <c r="R103" s="62"/>
      <c r="S103" s="63"/>
      <c r="T103"/>
      <c r="U103"/>
      <c r="V103" s="16"/>
      <c r="W103"/>
      <c r="X103"/>
      <c r="Y103" s="23"/>
      <c r="Z103" s="23"/>
      <c r="AA103" s="23"/>
      <c r="AB103" s="23"/>
      <c r="AC103" s="39"/>
      <c r="AI103" s="1"/>
      <c r="AJ103" s="1"/>
      <c r="AK103" s="1"/>
      <c r="AL103" s="1"/>
      <c r="AM103" s="1"/>
    </row>
    <row r="104" spans="17:39">
      <c r="Q104" s="3"/>
      <c r="R104" s="62"/>
      <c r="S104" s="63"/>
      <c r="T104"/>
      <c r="U104"/>
      <c r="V104" s="16"/>
      <c r="W104"/>
      <c r="X104"/>
      <c r="Y104" s="23"/>
      <c r="Z104" s="23"/>
      <c r="AA104" s="23"/>
      <c r="AB104" s="23"/>
      <c r="AC104" s="39"/>
      <c r="AI104" s="1"/>
      <c r="AJ104" s="1"/>
      <c r="AK104" s="1"/>
      <c r="AL104" s="1"/>
      <c r="AM104" s="1"/>
    </row>
    <row r="105" spans="17:39">
      <c r="Q105" s="3"/>
      <c r="R105" s="62"/>
      <c r="S105" s="63"/>
      <c r="T105"/>
      <c r="U105"/>
      <c r="V105" s="16"/>
      <c r="W105"/>
      <c r="X105"/>
      <c r="Y105" s="23"/>
      <c r="Z105" s="23"/>
      <c r="AA105" s="23"/>
      <c r="AB105" s="23"/>
      <c r="AC105" s="39"/>
      <c r="AI105" s="1"/>
      <c r="AJ105" s="1"/>
      <c r="AK105" s="1"/>
      <c r="AL105" s="1"/>
      <c r="AM105" s="1"/>
    </row>
    <row r="106" spans="17:39">
      <c r="Q106" s="3"/>
      <c r="R106" s="62"/>
      <c r="S106" s="63"/>
      <c r="T106"/>
      <c r="U106"/>
      <c r="V106" s="16"/>
      <c r="W106"/>
      <c r="X106"/>
      <c r="Y106" s="23"/>
      <c r="Z106" s="23"/>
      <c r="AA106" s="23"/>
      <c r="AB106" s="23"/>
      <c r="AC106" s="39"/>
      <c r="AI106" s="1"/>
      <c r="AJ106" s="1"/>
      <c r="AK106" s="1"/>
      <c r="AL106" s="1"/>
      <c r="AM106" s="1"/>
    </row>
    <row r="107" spans="17:39">
      <c r="Q107" s="3"/>
      <c r="R107" s="62"/>
      <c r="S107" s="63"/>
      <c r="T107"/>
      <c r="U107"/>
      <c r="V107" s="16"/>
      <c r="W107"/>
      <c r="X107"/>
      <c r="Y107" s="23"/>
      <c r="Z107" s="23"/>
      <c r="AA107" s="23"/>
      <c r="AB107" s="23"/>
      <c r="AC107" s="39"/>
      <c r="AI107" s="1"/>
      <c r="AJ107" s="1"/>
      <c r="AK107" s="1"/>
      <c r="AL107" s="1"/>
      <c r="AM107" s="1"/>
    </row>
    <row r="108" spans="17:39">
      <c r="Q108" s="3"/>
      <c r="R108" s="62"/>
      <c r="S108" s="63"/>
      <c r="T108"/>
      <c r="U108"/>
      <c r="V108" s="16"/>
      <c r="W108"/>
      <c r="X108"/>
      <c r="Y108" s="23"/>
      <c r="Z108" s="23"/>
      <c r="AA108" s="23"/>
      <c r="AB108" s="23"/>
      <c r="AC108" s="39"/>
      <c r="AI108" s="1"/>
      <c r="AJ108" s="1"/>
      <c r="AK108" s="1"/>
      <c r="AL108" s="1"/>
      <c r="AM108" s="1"/>
    </row>
    <row r="109" spans="17:39">
      <c r="Q109" s="3"/>
      <c r="R109" s="62"/>
      <c r="S109" s="63"/>
      <c r="T109"/>
      <c r="U109"/>
      <c r="V109" s="16"/>
      <c r="W109"/>
      <c r="X109"/>
      <c r="Y109" s="23"/>
      <c r="Z109" s="23"/>
      <c r="AA109" s="23"/>
      <c r="AB109" s="23"/>
      <c r="AC109" s="39"/>
      <c r="AI109" s="1"/>
      <c r="AJ109" s="1"/>
      <c r="AK109" s="1"/>
      <c r="AL109" s="1"/>
      <c r="AM109" s="1"/>
    </row>
    <row r="110" spans="17:39">
      <c r="Q110" s="3"/>
      <c r="R110" s="62"/>
      <c r="S110" s="63"/>
      <c r="T110"/>
      <c r="U110"/>
      <c r="V110" s="16"/>
      <c r="W110"/>
      <c r="X110"/>
      <c r="Y110" s="23"/>
      <c r="Z110" s="23"/>
      <c r="AA110" s="23"/>
      <c r="AB110" s="23"/>
      <c r="AC110" s="39"/>
      <c r="AI110" s="1"/>
      <c r="AJ110" s="1"/>
      <c r="AK110" s="1"/>
      <c r="AL110" s="1"/>
      <c r="AM110" s="1"/>
    </row>
    <row r="111" spans="17:39">
      <c r="Q111" s="3"/>
      <c r="R111" s="62"/>
      <c r="S111" s="63"/>
      <c r="T111"/>
      <c r="U111"/>
      <c r="V111" s="16"/>
      <c r="W111"/>
      <c r="X111"/>
      <c r="Y111" s="23"/>
      <c r="Z111" s="23"/>
      <c r="AA111" s="23"/>
      <c r="AB111" s="23"/>
      <c r="AC111" s="39"/>
      <c r="AI111" s="1"/>
      <c r="AJ111" s="1"/>
      <c r="AK111" s="1"/>
      <c r="AL111" s="1"/>
      <c r="AM111" s="1"/>
    </row>
    <row r="112" spans="17:39">
      <c r="Q112" s="3"/>
      <c r="R112" s="62"/>
      <c r="S112" s="63"/>
      <c r="T112"/>
      <c r="U112"/>
      <c r="V112" s="16"/>
      <c r="W112"/>
      <c r="X112"/>
      <c r="Y112" s="23"/>
      <c r="Z112" s="23"/>
      <c r="AA112" s="23"/>
      <c r="AB112" s="23"/>
      <c r="AC112" s="39"/>
      <c r="AI112" s="1"/>
      <c r="AJ112" s="1"/>
      <c r="AK112" s="1"/>
      <c r="AL112" s="1"/>
      <c r="AM112" s="1"/>
    </row>
    <row r="113" spans="17:39">
      <c r="Q113" s="3"/>
      <c r="R113" s="62"/>
      <c r="S113" s="63"/>
      <c r="T113"/>
      <c r="U113"/>
      <c r="V113" s="16"/>
      <c r="W113"/>
      <c r="X113"/>
      <c r="Y113" s="23"/>
      <c r="Z113" s="23"/>
      <c r="AA113" s="23"/>
      <c r="AB113" s="23"/>
      <c r="AC113" s="39"/>
      <c r="AI113" s="1"/>
      <c r="AJ113" s="1"/>
      <c r="AK113" s="1"/>
      <c r="AL113" s="1"/>
      <c r="AM113" s="1"/>
    </row>
    <row r="114" spans="17:39">
      <c r="Q114" s="3"/>
      <c r="R114" s="62"/>
      <c r="S114" s="63"/>
      <c r="T114"/>
      <c r="U114"/>
      <c r="V114" s="16"/>
      <c r="W114"/>
      <c r="X114"/>
      <c r="Y114" s="23"/>
      <c r="Z114" s="23"/>
      <c r="AA114" s="23"/>
      <c r="AB114" s="23"/>
      <c r="AC114" s="39"/>
      <c r="AI114" s="1"/>
      <c r="AJ114" s="1"/>
      <c r="AK114" s="1"/>
      <c r="AL114" s="1"/>
      <c r="AM114" s="1"/>
    </row>
    <row r="115" spans="17:39">
      <c r="Q115" s="3"/>
      <c r="R115" s="62"/>
      <c r="S115" s="63"/>
      <c r="T115"/>
      <c r="U115"/>
      <c r="V115" s="16"/>
      <c r="W115"/>
      <c r="X115"/>
      <c r="Y115" s="23"/>
      <c r="Z115" s="23"/>
      <c r="AA115" s="23"/>
      <c r="AB115" s="23"/>
      <c r="AC115" s="39"/>
      <c r="AI115" s="1"/>
      <c r="AJ115" s="1"/>
      <c r="AK115" s="1"/>
      <c r="AL115" s="1"/>
      <c r="AM115" s="1"/>
    </row>
    <row r="116" spans="17:39">
      <c r="Q116" s="3"/>
      <c r="R116" s="62"/>
      <c r="S116" s="63"/>
      <c r="T116"/>
      <c r="U116"/>
      <c r="V116" s="16"/>
      <c r="W116"/>
      <c r="X116"/>
      <c r="Y116" s="23"/>
      <c r="Z116" s="23"/>
      <c r="AA116" s="23"/>
      <c r="AB116" s="23"/>
      <c r="AC116" s="39"/>
      <c r="AI116" s="1"/>
      <c r="AJ116" s="1"/>
      <c r="AK116" s="1"/>
      <c r="AL116" s="1"/>
      <c r="AM116" s="1"/>
    </row>
    <row r="117" spans="17:39">
      <c r="Q117" s="3"/>
      <c r="R117" s="62"/>
      <c r="S117" s="63"/>
      <c r="T117"/>
      <c r="U117"/>
      <c r="V117" s="16"/>
      <c r="W117"/>
      <c r="X117"/>
      <c r="Y117" s="23"/>
      <c r="Z117" s="23"/>
      <c r="AA117" s="23"/>
      <c r="AB117" s="23"/>
      <c r="AC117" s="39"/>
      <c r="AI117" s="1"/>
      <c r="AJ117" s="1"/>
      <c r="AK117" s="1"/>
      <c r="AL117" s="1"/>
      <c r="AM117" s="1"/>
    </row>
    <row r="118" spans="17:39">
      <c r="Q118" s="3"/>
      <c r="R118" s="62"/>
      <c r="S118" s="63"/>
      <c r="T118"/>
      <c r="U118"/>
      <c r="V118" s="16"/>
      <c r="W118"/>
      <c r="X118"/>
      <c r="Y118" s="23"/>
      <c r="Z118" s="23"/>
      <c r="AA118" s="23"/>
      <c r="AB118" s="23"/>
      <c r="AC118" s="39"/>
      <c r="AI118" s="1"/>
      <c r="AJ118" s="1"/>
      <c r="AK118" s="1"/>
      <c r="AL118" s="1"/>
      <c r="AM118" s="1"/>
    </row>
    <row r="119" spans="17:39">
      <c r="Q119" s="3"/>
      <c r="R119" s="62"/>
      <c r="S119" s="63"/>
      <c r="T119"/>
      <c r="U119"/>
      <c r="V119" s="16"/>
      <c r="W119"/>
      <c r="X119"/>
      <c r="Y119" s="23"/>
      <c r="Z119" s="23"/>
      <c r="AA119" s="23"/>
      <c r="AB119" s="23"/>
      <c r="AC119" s="39"/>
      <c r="AI119" s="1"/>
      <c r="AJ119" s="1"/>
      <c r="AK119" s="1"/>
      <c r="AL119" s="1"/>
      <c r="AM119" s="1"/>
    </row>
    <row r="120" spans="17:39">
      <c r="Q120" s="3"/>
      <c r="R120" s="62"/>
      <c r="S120" s="63"/>
      <c r="T120"/>
      <c r="U120"/>
      <c r="V120" s="16"/>
      <c r="W120"/>
      <c r="X120"/>
      <c r="Y120" s="23"/>
      <c r="Z120" s="23"/>
      <c r="AA120" s="23"/>
      <c r="AB120" s="23"/>
      <c r="AC120" s="39"/>
      <c r="AI120" s="1"/>
      <c r="AJ120" s="1"/>
      <c r="AK120" s="1"/>
      <c r="AL120" s="1"/>
      <c r="AM120" s="1"/>
    </row>
    <row r="121" spans="17:39">
      <c r="Q121" s="3"/>
      <c r="R121" s="62"/>
      <c r="S121" s="63"/>
      <c r="T121"/>
      <c r="U121"/>
      <c r="V121" s="16"/>
      <c r="W121"/>
      <c r="X121"/>
      <c r="Y121" s="23"/>
      <c r="Z121" s="23"/>
      <c r="AA121" s="23"/>
      <c r="AB121" s="23"/>
      <c r="AC121" s="39"/>
      <c r="AI121" s="1"/>
      <c r="AJ121" s="1"/>
      <c r="AK121" s="1"/>
      <c r="AL121" s="1"/>
      <c r="AM121" s="1"/>
    </row>
    <row r="122" spans="17:39">
      <c r="Q122" s="3"/>
      <c r="R122" s="62"/>
      <c r="S122" s="63"/>
      <c r="T122"/>
      <c r="U122"/>
      <c r="V122" s="16"/>
      <c r="W122"/>
      <c r="X122"/>
      <c r="Y122" s="23"/>
      <c r="Z122" s="23"/>
      <c r="AA122" s="23"/>
      <c r="AB122" s="23"/>
      <c r="AC122" s="39"/>
      <c r="AI122" s="1"/>
      <c r="AJ122" s="1"/>
      <c r="AK122" s="1"/>
      <c r="AL122" s="1"/>
      <c r="AM122" s="1"/>
    </row>
    <row r="123" spans="17:39">
      <c r="Q123" s="3"/>
      <c r="R123" s="62"/>
      <c r="S123" s="63"/>
      <c r="T123"/>
      <c r="U123"/>
      <c r="V123" s="16"/>
      <c r="W123"/>
      <c r="X123"/>
      <c r="Y123" s="23"/>
      <c r="Z123" s="23"/>
      <c r="AA123" s="23"/>
      <c r="AB123" s="23"/>
      <c r="AC123" s="39"/>
      <c r="AI123" s="1"/>
      <c r="AJ123" s="1"/>
      <c r="AK123" s="1"/>
      <c r="AL123" s="1"/>
      <c r="AM123" s="1"/>
    </row>
    <row r="124" spans="17:39">
      <c r="Q124" s="3"/>
      <c r="R124" s="62"/>
      <c r="S124" s="63"/>
      <c r="T124"/>
      <c r="U124"/>
      <c r="V124" s="16"/>
      <c r="W124"/>
      <c r="X124"/>
      <c r="Y124" s="23"/>
      <c r="Z124" s="23"/>
      <c r="AA124" s="23"/>
      <c r="AB124" s="23"/>
      <c r="AC124" s="39"/>
      <c r="AI124" s="1"/>
      <c r="AJ124" s="1"/>
      <c r="AK124" s="1"/>
      <c r="AL124" s="1"/>
      <c r="AM124" s="1"/>
    </row>
    <row r="125" spans="17:39">
      <c r="Q125" s="3"/>
      <c r="R125" s="62"/>
      <c r="S125" s="63"/>
      <c r="T125"/>
      <c r="U125"/>
      <c r="V125" s="16"/>
      <c r="W125"/>
      <c r="X125"/>
      <c r="Y125" s="23"/>
      <c r="Z125" s="23"/>
      <c r="AA125" s="23"/>
      <c r="AB125" s="23"/>
      <c r="AC125" s="39"/>
      <c r="AI125" s="1"/>
      <c r="AJ125" s="1"/>
      <c r="AK125" s="1"/>
      <c r="AL125" s="1"/>
      <c r="AM125" s="1"/>
    </row>
    <row r="126" spans="17:39">
      <c r="Q126" s="3"/>
      <c r="R126" s="62"/>
      <c r="S126" s="63"/>
      <c r="T126"/>
      <c r="U126"/>
      <c r="V126" s="16"/>
      <c r="W126"/>
      <c r="X126"/>
      <c r="Y126" s="23"/>
      <c r="Z126" s="23"/>
      <c r="AA126" s="23"/>
      <c r="AB126" s="23"/>
      <c r="AC126" s="39"/>
      <c r="AI126" s="1"/>
      <c r="AJ126" s="1"/>
      <c r="AK126" s="1"/>
      <c r="AL126" s="1"/>
      <c r="AM126" s="1"/>
    </row>
    <row r="127" spans="17:39">
      <c r="Q127" s="3"/>
      <c r="R127" s="62"/>
      <c r="S127" s="63"/>
      <c r="T127"/>
      <c r="U127"/>
      <c r="V127" s="16"/>
      <c r="W127"/>
      <c r="X127"/>
      <c r="Y127" s="23"/>
      <c r="Z127" s="23"/>
      <c r="AA127" s="23"/>
      <c r="AB127" s="23"/>
      <c r="AC127" s="39"/>
      <c r="AI127" s="1"/>
      <c r="AJ127" s="1"/>
      <c r="AK127" s="1"/>
      <c r="AL127" s="1"/>
      <c r="AM127" s="1"/>
    </row>
    <row r="128" spans="17:39">
      <c r="Q128" s="3"/>
      <c r="R128" s="62"/>
      <c r="S128" s="63"/>
      <c r="T128"/>
      <c r="U128"/>
      <c r="V128" s="16"/>
      <c r="W128"/>
      <c r="X128"/>
      <c r="Y128" s="23"/>
      <c r="Z128" s="23"/>
      <c r="AA128" s="23"/>
      <c r="AB128" s="23"/>
      <c r="AC128" s="39"/>
      <c r="AI128" s="1"/>
      <c r="AJ128" s="1"/>
      <c r="AK128" s="1"/>
      <c r="AL128" s="1"/>
      <c r="AM128" s="1"/>
    </row>
    <row r="129" spans="17:39">
      <c r="Q129" s="3"/>
      <c r="R129" s="62"/>
      <c r="S129" s="63"/>
      <c r="T129"/>
      <c r="U129"/>
      <c r="V129" s="16"/>
      <c r="W129"/>
      <c r="X129"/>
      <c r="Y129" s="23"/>
      <c r="Z129" s="23"/>
      <c r="AA129" s="23"/>
      <c r="AB129" s="23"/>
      <c r="AC129" s="39"/>
      <c r="AI129" s="1"/>
      <c r="AJ129" s="1"/>
      <c r="AK129" s="1"/>
      <c r="AL129" s="1"/>
      <c r="AM129" s="1"/>
    </row>
    <row r="130" spans="17:39">
      <c r="Q130" s="3"/>
      <c r="R130" s="62"/>
      <c r="S130" s="63"/>
      <c r="T130"/>
      <c r="U130"/>
      <c r="V130" s="16"/>
      <c r="W130"/>
      <c r="X130"/>
      <c r="Y130" s="23"/>
      <c r="Z130" s="23"/>
      <c r="AA130" s="23"/>
      <c r="AB130" s="23"/>
      <c r="AC130" s="39"/>
      <c r="AI130" s="1"/>
      <c r="AJ130" s="1"/>
      <c r="AK130" s="1"/>
      <c r="AL130" s="1"/>
      <c r="AM130" s="1"/>
    </row>
    <row r="131" spans="17:39">
      <c r="Q131" s="3"/>
      <c r="R131" s="62"/>
      <c r="S131" s="63"/>
      <c r="T131"/>
      <c r="U131"/>
      <c r="V131" s="16"/>
      <c r="W131"/>
      <c r="X131"/>
      <c r="Y131" s="23"/>
      <c r="Z131" s="23"/>
      <c r="AA131" s="23"/>
      <c r="AB131" s="23"/>
      <c r="AC131" s="39"/>
      <c r="AI131" s="1"/>
      <c r="AJ131" s="1"/>
      <c r="AK131" s="1"/>
      <c r="AL131" s="1"/>
      <c r="AM131" s="1"/>
    </row>
    <row r="132" spans="17:39">
      <c r="Q132" s="3"/>
      <c r="R132" s="62"/>
      <c r="S132" s="63"/>
      <c r="T132"/>
      <c r="U132"/>
      <c r="V132" s="16"/>
      <c r="W132"/>
      <c r="X132"/>
      <c r="Y132" s="23"/>
      <c r="Z132" s="23"/>
      <c r="AA132" s="23"/>
      <c r="AB132" s="23"/>
      <c r="AC132" s="39"/>
      <c r="AI132" s="1"/>
      <c r="AJ132" s="1"/>
      <c r="AK132" s="1"/>
      <c r="AL132" s="1"/>
      <c r="AM132" s="1"/>
    </row>
    <row r="133" spans="17:39">
      <c r="Q133" s="3"/>
      <c r="R133" s="62"/>
      <c r="S133" s="63"/>
      <c r="T133"/>
      <c r="U133"/>
      <c r="V133" s="16"/>
      <c r="W133"/>
      <c r="X133"/>
      <c r="Y133" s="23"/>
      <c r="Z133" s="23"/>
      <c r="AA133" s="23"/>
      <c r="AB133" s="23"/>
      <c r="AC133" s="39"/>
      <c r="AI133" s="1"/>
      <c r="AJ133" s="1"/>
      <c r="AK133" s="1"/>
      <c r="AL133" s="1"/>
      <c r="AM133" s="1"/>
    </row>
    <row r="134" spans="17:39">
      <c r="Q134" s="3"/>
      <c r="R134" s="62"/>
      <c r="S134" s="63"/>
      <c r="T134"/>
      <c r="U134"/>
      <c r="V134" s="16"/>
      <c r="W134"/>
      <c r="X134"/>
      <c r="Y134" s="23"/>
      <c r="Z134" s="23"/>
      <c r="AA134" s="23"/>
      <c r="AB134" s="23"/>
      <c r="AC134" s="39"/>
      <c r="AI134" s="1"/>
      <c r="AJ134" s="1"/>
      <c r="AK134" s="1"/>
      <c r="AL134" s="1"/>
      <c r="AM134" s="1"/>
    </row>
    <row r="135" spans="17:39">
      <c r="Q135" s="3"/>
      <c r="R135" s="62"/>
      <c r="S135" s="63"/>
      <c r="T135"/>
      <c r="U135"/>
      <c r="V135" s="16"/>
      <c r="W135"/>
      <c r="X135"/>
      <c r="Y135" s="23"/>
      <c r="Z135" s="23"/>
      <c r="AA135" s="23"/>
      <c r="AB135" s="23"/>
      <c r="AC135" s="39"/>
      <c r="AI135" s="1"/>
      <c r="AJ135" s="1"/>
      <c r="AK135" s="1"/>
      <c r="AL135" s="1"/>
      <c r="AM135" s="1"/>
    </row>
    <row r="136" spans="17:39">
      <c r="Q136" s="3"/>
      <c r="R136" s="62"/>
      <c r="S136" s="63"/>
      <c r="T136"/>
      <c r="U136"/>
      <c r="V136" s="16"/>
      <c r="W136"/>
      <c r="X136"/>
      <c r="Y136" s="23"/>
      <c r="Z136" s="23"/>
      <c r="AA136" s="23"/>
      <c r="AB136" s="23"/>
      <c r="AC136" s="39"/>
      <c r="AI136" s="1"/>
      <c r="AJ136" s="1"/>
      <c r="AK136" s="1"/>
      <c r="AL136" s="1"/>
      <c r="AM136" s="1"/>
    </row>
    <row r="137" spans="17:39">
      <c r="Q137" s="3"/>
      <c r="R137" s="62"/>
      <c r="S137" s="63"/>
      <c r="T137"/>
      <c r="U137"/>
      <c r="V137" s="16"/>
      <c r="W137"/>
      <c r="X137"/>
      <c r="Y137" s="23"/>
      <c r="Z137" s="23"/>
      <c r="AA137" s="23"/>
      <c r="AB137" s="23"/>
      <c r="AC137" s="39"/>
      <c r="AI137" s="1"/>
      <c r="AJ137" s="1"/>
      <c r="AK137" s="1"/>
      <c r="AL137" s="1"/>
      <c r="AM137" s="1"/>
    </row>
    <row r="138" spans="17:39">
      <c r="Q138" s="3"/>
      <c r="R138" s="62"/>
      <c r="S138" s="63"/>
      <c r="T138"/>
      <c r="U138"/>
      <c r="V138" s="16"/>
      <c r="W138"/>
      <c r="X138"/>
      <c r="Y138" s="23"/>
      <c r="Z138" s="23"/>
      <c r="AA138" s="23"/>
      <c r="AB138" s="23"/>
      <c r="AC138" s="39"/>
      <c r="AI138" s="1"/>
      <c r="AJ138" s="1"/>
      <c r="AK138" s="1"/>
      <c r="AL138" s="1"/>
      <c r="AM138" s="1"/>
    </row>
    <row r="139" spans="17:39">
      <c r="Q139" s="3"/>
      <c r="R139" s="62"/>
      <c r="S139" s="63"/>
      <c r="T139"/>
      <c r="U139"/>
      <c r="V139" s="16"/>
      <c r="W139"/>
      <c r="X139"/>
      <c r="Y139" s="23"/>
      <c r="Z139" s="23"/>
      <c r="AA139" s="23"/>
      <c r="AB139" s="23"/>
      <c r="AC139" s="39"/>
      <c r="AI139" s="1"/>
      <c r="AJ139" s="1"/>
      <c r="AK139" s="1"/>
      <c r="AL139" s="1"/>
      <c r="AM139" s="1"/>
    </row>
    <row r="140" spans="17:39">
      <c r="Q140" s="3"/>
      <c r="R140" s="62"/>
      <c r="S140" s="63"/>
      <c r="T140"/>
      <c r="U140"/>
      <c r="V140" s="16"/>
      <c r="W140"/>
      <c r="X140"/>
      <c r="Y140" s="23"/>
      <c r="Z140" s="23"/>
      <c r="AA140" s="23"/>
      <c r="AB140" s="23"/>
      <c r="AC140" s="39"/>
      <c r="AI140" s="1"/>
      <c r="AJ140" s="1"/>
      <c r="AK140" s="1"/>
      <c r="AL140" s="1"/>
      <c r="AM140" s="1"/>
    </row>
    <row r="141" spans="17:39">
      <c r="Q141" s="3"/>
      <c r="R141" s="62"/>
      <c r="S141" s="63"/>
      <c r="T141"/>
      <c r="U141"/>
      <c r="V141" s="16"/>
      <c r="W141"/>
      <c r="X141"/>
      <c r="Y141" s="23"/>
      <c r="Z141" s="23"/>
      <c r="AA141" s="23"/>
      <c r="AB141" s="23"/>
      <c r="AC141" s="39"/>
      <c r="AI141" s="1"/>
      <c r="AJ141" s="1"/>
      <c r="AK141" s="1"/>
      <c r="AL141" s="1"/>
      <c r="AM141" s="1"/>
    </row>
    <row r="142" spans="17:39">
      <c r="Q142" s="3"/>
      <c r="R142" s="62"/>
      <c r="S142" s="63"/>
      <c r="T142"/>
      <c r="U142"/>
      <c r="V142" s="16"/>
      <c r="W142"/>
      <c r="X142"/>
      <c r="Y142" s="23"/>
      <c r="Z142" s="23"/>
      <c r="AA142" s="23"/>
      <c r="AB142" s="23"/>
      <c r="AC142" s="39"/>
      <c r="AI142" s="1"/>
      <c r="AJ142" s="1"/>
      <c r="AK142" s="1"/>
      <c r="AL142" s="1"/>
      <c r="AM142" s="1"/>
    </row>
    <row r="143" spans="17:39">
      <c r="Q143" s="3"/>
      <c r="R143" s="62"/>
      <c r="S143" s="63"/>
      <c r="T143"/>
      <c r="U143"/>
      <c r="V143" s="16"/>
      <c r="W143"/>
      <c r="X143"/>
      <c r="Y143" s="23"/>
      <c r="Z143" s="23"/>
      <c r="AA143" s="23"/>
      <c r="AB143" s="23"/>
      <c r="AC143" s="39"/>
      <c r="AI143" s="1"/>
      <c r="AJ143" s="1"/>
      <c r="AK143" s="1"/>
      <c r="AL143" s="1"/>
      <c r="AM143" s="1"/>
    </row>
    <row r="144" spans="17:39">
      <c r="Q144" s="3"/>
      <c r="R144" s="62"/>
      <c r="S144" s="63"/>
      <c r="T144"/>
      <c r="U144"/>
      <c r="V144" s="16"/>
      <c r="W144"/>
      <c r="X144"/>
      <c r="Y144" s="23"/>
      <c r="Z144" s="23"/>
      <c r="AA144" s="23"/>
      <c r="AB144" s="23"/>
      <c r="AC144" s="39"/>
      <c r="AI144" s="1"/>
      <c r="AJ144" s="1"/>
      <c r="AK144" s="1"/>
      <c r="AL144" s="1"/>
      <c r="AM144" s="1"/>
    </row>
    <row r="145" spans="17:39">
      <c r="Q145" s="3"/>
      <c r="R145" s="62"/>
      <c r="S145" s="63"/>
      <c r="T145"/>
      <c r="U145"/>
      <c r="V145" s="16"/>
      <c r="W145"/>
      <c r="X145"/>
      <c r="Y145" s="23"/>
      <c r="Z145" s="23"/>
      <c r="AA145" s="23"/>
      <c r="AB145" s="23"/>
      <c r="AC145" s="39"/>
      <c r="AI145" s="1"/>
      <c r="AJ145" s="1"/>
      <c r="AK145" s="1"/>
      <c r="AL145" s="1"/>
      <c r="AM145" s="1"/>
    </row>
    <row r="146" spans="17:39">
      <c r="Q146" s="3"/>
      <c r="R146" s="62"/>
      <c r="S146" s="63"/>
      <c r="T146"/>
      <c r="U146"/>
      <c r="V146" s="16"/>
      <c r="W146"/>
      <c r="X146"/>
      <c r="Y146" s="23"/>
      <c r="Z146" s="23"/>
      <c r="AA146" s="23"/>
      <c r="AB146" s="23"/>
      <c r="AC146" s="39"/>
      <c r="AI146" s="1"/>
      <c r="AJ146" s="1"/>
      <c r="AK146" s="1"/>
      <c r="AL146" s="1"/>
      <c r="AM146" s="1"/>
    </row>
    <row r="147" spans="17:39">
      <c r="Q147" s="3"/>
      <c r="R147" s="62"/>
      <c r="S147" s="63"/>
      <c r="T147"/>
      <c r="U147"/>
      <c r="V147" s="16"/>
      <c r="W147"/>
      <c r="X147"/>
      <c r="Y147" s="23"/>
      <c r="Z147" s="23"/>
      <c r="AA147" s="23"/>
      <c r="AB147" s="23"/>
      <c r="AC147" s="39"/>
      <c r="AI147" s="1"/>
      <c r="AJ147" s="1"/>
      <c r="AK147" s="1"/>
      <c r="AL147" s="1"/>
      <c r="AM147" s="1"/>
    </row>
    <row r="148" spans="17:39">
      <c r="Q148" s="3"/>
      <c r="R148" s="62"/>
      <c r="S148" s="63"/>
      <c r="T148"/>
      <c r="U148"/>
      <c r="V148" s="16"/>
      <c r="W148"/>
      <c r="X148"/>
      <c r="Y148" s="23"/>
      <c r="Z148" s="23"/>
      <c r="AA148" s="23"/>
      <c r="AB148" s="23"/>
      <c r="AC148" s="39"/>
      <c r="AI148" s="1"/>
      <c r="AJ148" s="1"/>
      <c r="AK148" s="1"/>
      <c r="AL148" s="1"/>
      <c r="AM148" s="1"/>
    </row>
    <row r="149" spans="17:39">
      <c r="Q149" s="3"/>
      <c r="R149" s="62"/>
      <c r="S149" s="63"/>
      <c r="T149"/>
      <c r="U149"/>
      <c r="V149" s="16"/>
      <c r="W149"/>
      <c r="X149"/>
      <c r="Y149" s="23"/>
      <c r="Z149" s="23"/>
      <c r="AA149" s="23"/>
      <c r="AB149" s="23"/>
      <c r="AC149" s="39"/>
      <c r="AI149" s="1"/>
      <c r="AJ149" s="1"/>
      <c r="AK149" s="1"/>
      <c r="AL149" s="1"/>
      <c r="AM149" s="1"/>
    </row>
    <row r="150" spans="17:39">
      <c r="Q150" s="3"/>
      <c r="R150" s="62"/>
      <c r="S150" s="63"/>
      <c r="T150"/>
      <c r="U150"/>
      <c r="V150" s="16"/>
      <c r="W150"/>
      <c r="X150"/>
      <c r="Y150" s="23"/>
      <c r="Z150" s="23"/>
      <c r="AA150" s="23"/>
      <c r="AB150" s="23"/>
      <c r="AC150" s="39"/>
      <c r="AI150" s="1"/>
      <c r="AJ150" s="1"/>
      <c r="AK150" s="1"/>
      <c r="AL150" s="1"/>
      <c r="AM150" s="1"/>
    </row>
    <row r="151" spans="17:39">
      <c r="Q151" s="3"/>
      <c r="R151" s="62"/>
      <c r="S151" s="63"/>
      <c r="T151"/>
      <c r="U151"/>
      <c r="V151" s="16"/>
      <c r="W151"/>
      <c r="X151"/>
      <c r="Y151" s="23"/>
      <c r="Z151" s="23"/>
      <c r="AA151" s="23"/>
      <c r="AB151" s="23"/>
      <c r="AC151" s="39"/>
      <c r="AI151" s="1"/>
      <c r="AJ151" s="1"/>
      <c r="AK151" s="1"/>
      <c r="AL151" s="1"/>
      <c r="AM151" s="1"/>
    </row>
    <row r="152" spans="17:39">
      <c r="Q152" s="3"/>
      <c r="R152" s="62"/>
      <c r="S152" s="63"/>
      <c r="T152"/>
      <c r="U152"/>
      <c r="V152" s="16"/>
      <c r="W152"/>
      <c r="X152"/>
      <c r="Y152" s="23"/>
      <c r="Z152" s="23"/>
      <c r="AA152" s="23"/>
      <c r="AB152" s="23"/>
      <c r="AC152" s="39"/>
      <c r="AI152" s="1"/>
      <c r="AJ152" s="1"/>
      <c r="AK152" s="1"/>
      <c r="AL152" s="1"/>
      <c r="AM152" s="1"/>
    </row>
    <row r="153" spans="17:39">
      <c r="Q153" s="3"/>
      <c r="R153" s="62"/>
      <c r="S153" s="63"/>
      <c r="T153"/>
      <c r="U153"/>
      <c r="V153" s="16"/>
      <c r="W153"/>
      <c r="X153"/>
      <c r="Y153" s="23"/>
      <c r="Z153" s="23"/>
      <c r="AA153" s="23"/>
      <c r="AB153" s="23"/>
      <c r="AC153" s="39"/>
      <c r="AI153" s="1"/>
      <c r="AJ153" s="1"/>
      <c r="AK153" s="1"/>
      <c r="AL153" s="1"/>
      <c r="AM153" s="1"/>
    </row>
    <row r="154" spans="17:39">
      <c r="Q154" s="3"/>
      <c r="R154" s="62"/>
      <c r="S154" s="63"/>
      <c r="T154"/>
      <c r="U154"/>
      <c r="V154" s="16"/>
      <c r="W154"/>
      <c r="X154"/>
      <c r="Y154" s="23"/>
      <c r="Z154" s="23"/>
      <c r="AA154" s="23"/>
      <c r="AB154" s="23"/>
      <c r="AC154" s="39"/>
      <c r="AI154" s="1"/>
      <c r="AJ154" s="1"/>
      <c r="AK154" s="1"/>
      <c r="AL154" s="1"/>
      <c r="AM154" s="1"/>
    </row>
    <row r="155" spans="17:39">
      <c r="Q155" s="3"/>
      <c r="R155" s="62"/>
      <c r="S155" s="63"/>
      <c r="T155"/>
      <c r="U155"/>
      <c r="V155" s="16"/>
      <c r="W155"/>
      <c r="X155"/>
      <c r="Y155" s="23"/>
      <c r="Z155" s="23"/>
      <c r="AA155" s="23"/>
      <c r="AB155" s="23"/>
      <c r="AC155" s="39"/>
      <c r="AI155" s="1"/>
      <c r="AJ155" s="1"/>
      <c r="AK155" s="1"/>
      <c r="AL155" s="1"/>
      <c r="AM155" s="1"/>
    </row>
    <row r="156" spans="17:39">
      <c r="Q156" s="3"/>
      <c r="R156" s="62"/>
      <c r="S156" s="63"/>
      <c r="T156"/>
      <c r="U156"/>
      <c r="V156" s="16"/>
      <c r="W156"/>
      <c r="X156"/>
      <c r="Y156" s="23"/>
      <c r="Z156" s="23"/>
      <c r="AA156" s="23"/>
      <c r="AB156" s="23"/>
      <c r="AC156" s="39"/>
      <c r="AI156" s="1"/>
      <c r="AJ156" s="1"/>
      <c r="AK156" s="1"/>
      <c r="AL156" s="1"/>
      <c r="AM156" s="1"/>
    </row>
    <row r="157" spans="17:39">
      <c r="Q157" s="3"/>
      <c r="R157" s="62"/>
      <c r="S157" s="63"/>
      <c r="T157"/>
      <c r="U157"/>
      <c r="V157" s="16"/>
      <c r="W157"/>
      <c r="X157"/>
      <c r="Y157" s="23"/>
      <c r="Z157" s="23"/>
      <c r="AA157" s="23"/>
      <c r="AB157" s="23"/>
      <c r="AC157" s="39"/>
      <c r="AI157" s="1"/>
      <c r="AJ157" s="1"/>
      <c r="AK157" s="1"/>
      <c r="AL157" s="1"/>
      <c r="AM157" s="1"/>
    </row>
    <row r="158" spans="17:39">
      <c r="Q158" s="3"/>
      <c r="R158" s="62"/>
      <c r="S158" s="63"/>
      <c r="T158"/>
      <c r="U158"/>
      <c r="V158" s="16"/>
      <c r="W158"/>
      <c r="X158"/>
      <c r="Y158" s="23"/>
      <c r="Z158" s="23"/>
      <c r="AA158" s="23"/>
      <c r="AB158" s="23"/>
      <c r="AC158" s="39"/>
      <c r="AI158" s="1"/>
      <c r="AJ158" s="1"/>
      <c r="AK158" s="1"/>
      <c r="AL158" s="1"/>
      <c r="AM158" s="1"/>
    </row>
    <row r="159" spans="17:39">
      <c r="Q159" s="3"/>
      <c r="R159" s="62"/>
      <c r="S159" s="63"/>
      <c r="T159"/>
      <c r="U159"/>
      <c r="V159" s="16"/>
      <c r="W159"/>
      <c r="X159"/>
      <c r="Y159" s="23"/>
      <c r="Z159" s="23"/>
      <c r="AA159" s="23"/>
      <c r="AB159" s="23"/>
      <c r="AC159" s="39"/>
      <c r="AI159" s="1"/>
      <c r="AJ159" s="1"/>
      <c r="AK159" s="1"/>
      <c r="AL159" s="1"/>
      <c r="AM159" s="1"/>
    </row>
    <row r="160" spans="17:39">
      <c r="Q160" s="3"/>
      <c r="R160" s="62"/>
      <c r="S160" s="63"/>
      <c r="T160"/>
      <c r="U160"/>
      <c r="V160" s="16"/>
      <c r="W160"/>
      <c r="X160"/>
      <c r="Y160" s="23"/>
      <c r="Z160" s="23"/>
      <c r="AA160" s="24"/>
      <c r="AB160" s="24"/>
      <c r="AC160" s="39"/>
      <c r="AI160" s="1"/>
      <c r="AJ160" s="1"/>
      <c r="AK160" s="1"/>
      <c r="AL160" s="1"/>
      <c r="AM160" s="1"/>
    </row>
    <row r="161" spans="17:39">
      <c r="Q161" s="3"/>
      <c r="R161" s="62"/>
      <c r="S161" s="63"/>
      <c r="T161"/>
      <c r="U161"/>
      <c r="V161" s="16"/>
      <c r="W161"/>
      <c r="X161"/>
      <c r="Y161" s="23"/>
      <c r="Z161" s="23"/>
      <c r="AA161" s="24"/>
      <c r="AB161" s="24"/>
      <c r="AC161" s="39"/>
      <c r="AI161" s="1"/>
      <c r="AJ161" s="1"/>
      <c r="AK161" s="1"/>
      <c r="AL161" s="1"/>
      <c r="AM161" s="1"/>
    </row>
    <row r="162" spans="17:39">
      <c r="Q162" s="3"/>
      <c r="R162" s="62"/>
      <c r="S162" s="63"/>
      <c r="T162"/>
      <c r="U162"/>
      <c r="V162" s="16"/>
      <c r="W162"/>
      <c r="X162"/>
      <c r="Y162" s="23"/>
      <c r="Z162" s="23"/>
      <c r="AA162" s="24"/>
      <c r="AB162" s="24"/>
      <c r="AC162" s="39"/>
      <c r="AI162" s="1"/>
      <c r="AJ162" s="1"/>
      <c r="AK162" s="1"/>
      <c r="AL162" s="1"/>
      <c r="AM162" s="1"/>
    </row>
    <row r="163" spans="17:39">
      <c r="Q163" s="3"/>
      <c r="R163" s="62"/>
      <c r="S163" s="63"/>
      <c r="T163"/>
      <c r="U163"/>
      <c r="V163" s="16"/>
      <c r="W163"/>
      <c r="X163"/>
      <c r="Y163" s="23"/>
      <c r="Z163" s="23"/>
      <c r="AA163" s="24"/>
      <c r="AB163" s="24"/>
      <c r="AC163" s="39"/>
      <c r="AI163" s="1"/>
      <c r="AJ163" s="1"/>
      <c r="AK163" s="1"/>
      <c r="AL163" s="1"/>
      <c r="AM163" s="1"/>
    </row>
    <row r="164" spans="17:39">
      <c r="Q164" s="3"/>
      <c r="R164" s="62"/>
      <c r="S164" s="63"/>
      <c r="T164"/>
      <c r="U164"/>
      <c r="V164" s="16"/>
      <c r="W164"/>
      <c r="X164"/>
      <c r="Y164" s="23"/>
      <c r="Z164" s="23"/>
      <c r="AA164" s="24"/>
      <c r="AB164" s="24"/>
      <c r="AC164" s="39"/>
      <c r="AI164" s="1"/>
      <c r="AJ164" s="1"/>
      <c r="AK164" s="1"/>
      <c r="AL164" s="1"/>
      <c r="AM164" s="1"/>
    </row>
    <row r="165" spans="17:39">
      <c r="Q165" s="3"/>
      <c r="R165" s="62"/>
      <c r="S165" s="63"/>
      <c r="T165"/>
      <c r="U165"/>
      <c r="V165" s="16"/>
      <c r="W165"/>
      <c r="X165"/>
      <c r="Y165" s="23"/>
      <c r="Z165" s="23"/>
      <c r="AA165" s="24"/>
      <c r="AB165" s="24"/>
      <c r="AC165" s="39"/>
      <c r="AI165" s="1"/>
      <c r="AJ165" s="1"/>
      <c r="AK165" s="1"/>
      <c r="AL165" s="1"/>
      <c r="AM165" s="1"/>
    </row>
    <row r="166" spans="17:39">
      <c r="Q166" s="3"/>
      <c r="R166" s="62"/>
      <c r="S166" s="63"/>
      <c r="T166"/>
      <c r="U166"/>
      <c r="V166" s="16"/>
      <c r="W166"/>
      <c r="X166"/>
      <c r="Y166" s="23"/>
      <c r="Z166" s="23"/>
      <c r="AA166" s="24"/>
      <c r="AB166" s="24"/>
      <c r="AC166" s="39"/>
      <c r="AI166" s="1"/>
      <c r="AJ166" s="1"/>
      <c r="AK166" s="1"/>
      <c r="AL166" s="1"/>
      <c r="AM166" s="1"/>
    </row>
    <row r="167" spans="17:39">
      <c r="Q167" s="3"/>
      <c r="R167" s="62"/>
      <c r="S167" s="63"/>
      <c r="T167"/>
      <c r="U167"/>
      <c r="V167" s="16"/>
      <c r="W167"/>
      <c r="X167"/>
      <c r="Y167" s="23"/>
      <c r="Z167" s="23"/>
      <c r="AA167" s="24"/>
      <c r="AB167" s="24"/>
      <c r="AC167" s="39"/>
      <c r="AI167" s="1"/>
      <c r="AJ167" s="1"/>
      <c r="AK167" s="1"/>
      <c r="AL167" s="1"/>
      <c r="AM167" s="1"/>
    </row>
    <row r="168" spans="17:39">
      <c r="Q168" s="3"/>
      <c r="R168" s="62"/>
      <c r="S168" s="63"/>
      <c r="T168"/>
      <c r="U168"/>
      <c r="V168" s="16"/>
      <c r="W168"/>
      <c r="X168"/>
      <c r="Y168" s="23"/>
      <c r="Z168" s="23"/>
      <c r="AA168" s="24"/>
      <c r="AB168" s="24"/>
      <c r="AC168" s="39"/>
      <c r="AI168" s="1"/>
      <c r="AJ168" s="1"/>
      <c r="AK168" s="1"/>
      <c r="AL168" s="1"/>
      <c r="AM168" s="1"/>
    </row>
    <row r="169" spans="17:39">
      <c r="Q169" s="3"/>
      <c r="R169" s="62"/>
      <c r="S169" s="63"/>
      <c r="T169"/>
      <c r="U169"/>
      <c r="V169" s="16"/>
      <c r="W169"/>
      <c r="X169"/>
      <c r="Y169" s="23"/>
      <c r="Z169" s="23"/>
      <c r="AA169" s="24"/>
      <c r="AB169" s="24"/>
      <c r="AC169" s="39"/>
      <c r="AI169" s="1"/>
      <c r="AJ169" s="1"/>
      <c r="AK169" s="1"/>
      <c r="AL169" s="1"/>
      <c r="AM169" s="1"/>
    </row>
    <row r="170" spans="17:39">
      <c r="Q170" s="3"/>
      <c r="R170" s="62"/>
      <c r="S170" s="63"/>
      <c r="T170"/>
      <c r="U170"/>
      <c r="V170" s="16"/>
      <c r="W170"/>
      <c r="X170"/>
      <c r="Y170" s="23"/>
      <c r="Z170" s="23"/>
      <c r="AA170" s="24"/>
      <c r="AB170" s="24"/>
      <c r="AC170" s="39"/>
      <c r="AI170" s="1"/>
      <c r="AJ170" s="1"/>
      <c r="AK170" s="1"/>
      <c r="AL170" s="1"/>
      <c r="AM170" s="1"/>
    </row>
    <row r="171" spans="17:39">
      <c r="Q171" s="3"/>
      <c r="R171" s="62"/>
      <c r="S171" s="63"/>
      <c r="T171"/>
      <c r="U171"/>
      <c r="V171" s="16"/>
      <c r="W171"/>
      <c r="X171"/>
      <c r="Y171" s="23"/>
      <c r="Z171" s="23"/>
      <c r="AA171" s="24"/>
      <c r="AB171" s="24"/>
      <c r="AC171" s="39"/>
      <c r="AI171" s="1"/>
      <c r="AJ171" s="1"/>
      <c r="AK171" s="1"/>
      <c r="AL171" s="1"/>
      <c r="AM171" s="1"/>
    </row>
    <row r="172" spans="17:39">
      <c r="Q172" s="3"/>
      <c r="R172" s="62"/>
      <c r="S172" s="63"/>
      <c r="T172"/>
      <c r="U172"/>
      <c r="V172" s="16"/>
      <c r="W172"/>
      <c r="X172"/>
      <c r="Y172" s="23"/>
      <c r="Z172" s="23"/>
      <c r="AA172" s="24"/>
      <c r="AB172" s="24"/>
      <c r="AC172" s="39"/>
      <c r="AI172" s="1"/>
      <c r="AJ172" s="1"/>
      <c r="AK172" s="1"/>
      <c r="AL172" s="1"/>
      <c r="AM172" s="1"/>
    </row>
    <row r="173" spans="17:39">
      <c r="Q173" s="3"/>
      <c r="R173" s="62"/>
      <c r="S173" s="63"/>
      <c r="T173"/>
      <c r="U173"/>
      <c r="V173" s="16"/>
      <c r="W173"/>
      <c r="X173"/>
      <c r="Y173" s="23"/>
      <c r="Z173" s="23"/>
      <c r="AA173" s="24"/>
      <c r="AB173" s="24"/>
      <c r="AC173" s="39"/>
      <c r="AI173" s="1"/>
      <c r="AJ173" s="1"/>
      <c r="AK173" s="1"/>
      <c r="AL173" s="1"/>
      <c r="AM173" s="1"/>
    </row>
    <row r="174" spans="17:39">
      <c r="Q174" s="3"/>
      <c r="R174" s="62"/>
      <c r="S174" s="63"/>
      <c r="T174"/>
      <c r="U174"/>
      <c r="V174" s="16"/>
      <c r="W174"/>
      <c r="X174"/>
      <c r="Y174" s="23"/>
      <c r="Z174" s="23"/>
      <c r="AA174" s="24"/>
      <c r="AB174" s="24"/>
      <c r="AC174" s="39"/>
      <c r="AI174" s="1"/>
      <c r="AJ174" s="1"/>
      <c r="AK174" s="1"/>
      <c r="AL174" s="1"/>
      <c r="AM174" s="1"/>
    </row>
    <row r="175" spans="17:39">
      <c r="Q175" s="3"/>
      <c r="R175" s="62"/>
      <c r="S175" s="63"/>
      <c r="T175"/>
      <c r="U175"/>
      <c r="V175" s="16"/>
      <c r="W175"/>
      <c r="X175"/>
      <c r="Y175" s="23"/>
      <c r="Z175" s="23"/>
      <c r="AA175" s="24"/>
      <c r="AB175" s="24"/>
      <c r="AC175" s="39"/>
      <c r="AI175" s="1"/>
      <c r="AJ175" s="1"/>
      <c r="AK175" s="1"/>
      <c r="AL175" s="1"/>
      <c r="AM175" s="1"/>
    </row>
    <row r="176" spans="17:39">
      <c r="Q176" s="3"/>
      <c r="R176" s="62"/>
      <c r="S176" s="63"/>
      <c r="T176"/>
      <c r="U176"/>
      <c r="V176" s="16"/>
      <c r="W176"/>
      <c r="X176"/>
      <c r="Y176" s="23"/>
      <c r="Z176" s="23"/>
      <c r="AA176" s="24"/>
      <c r="AB176" s="24"/>
      <c r="AC176" s="39"/>
      <c r="AI176" s="1"/>
      <c r="AJ176" s="1"/>
      <c r="AK176" s="1"/>
      <c r="AL176" s="1"/>
      <c r="AM176" s="1"/>
    </row>
    <row r="177" spans="17:39">
      <c r="Q177" s="3"/>
      <c r="R177" s="62"/>
      <c r="S177" s="63"/>
      <c r="T177"/>
      <c r="U177"/>
      <c r="V177" s="16"/>
      <c r="W177"/>
      <c r="X177"/>
      <c r="Y177" s="23"/>
      <c r="Z177" s="23"/>
      <c r="AA177" s="24"/>
      <c r="AB177" s="24"/>
      <c r="AC177" s="39"/>
      <c r="AI177" s="1"/>
      <c r="AJ177" s="1"/>
      <c r="AK177" s="1"/>
      <c r="AL177" s="1"/>
      <c r="AM177" s="1"/>
    </row>
    <row r="178" spans="17:39">
      <c r="Q178" s="3"/>
      <c r="R178" s="62"/>
      <c r="S178" s="63"/>
      <c r="T178"/>
      <c r="U178"/>
      <c r="V178" s="16"/>
      <c r="W178"/>
      <c r="X178"/>
      <c r="Y178" s="23"/>
      <c r="Z178" s="23"/>
      <c r="AA178" s="24"/>
      <c r="AB178" s="24"/>
      <c r="AC178" s="39"/>
      <c r="AI178" s="1"/>
      <c r="AJ178" s="1"/>
      <c r="AK178" s="1"/>
      <c r="AL178" s="1"/>
      <c r="AM178" s="1"/>
    </row>
    <row r="179" spans="17:39">
      <c r="Q179" s="3"/>
      <c r="R179" s="62"/>
      <c r="S179" s="63"/>
      <c r="T179"/>
      <c r="U179"/>
      <c r="V179" s="16"/>
      <c r="W179"/>
      <c r="X179"/>
      <c r="Y179" s="23"/>
      <c r="Z179" s="23"/>
      <c r="AA179" s="24"/>
      <c r="AB179" s="24"/>
      <c r="AC179" s="39"/>
      <c r="AI179" s="1"/>
      <c r="AJ179" s="1"/>
      <c r="AK179" s="1"/>
      <c r="AL179" s="1"/>
      <c r="AM179" s="1"/>
    </row>
    <row r="180" spans="17:39">
      <c r="Q180" s="3"/>
      <c r="R180" s="62"/>
      <c r="S180" s="63"/>
      <c r="T180"/>
      <c r="U180"/>
      <c r="V180" s="16"/>
      <c r="W180"/>
      <c r="X180"/>
      <c r="Y180" s="23"/>
      <c r="Z180" s="23"/>
      <c r="AA180" s="24"/>
      <c r="AB180" s="24"/>
      <c r="AC180" s="39"/>
      <c r="AI180" s="1"/>
      <c r="AJ180" s="1"/>
      <c r="AK180" s="1"/>
      <c r="AL180" s="1"/>
      <c r="AM180" s="1"/>
    </row>
    <row r="181" spans="17:39">
      <c r="Q181" s="3"/>
      <c r="R181" s="62"/>
      <c r="S181" s="63"/>
      <c r="T181"/>
      <c r="U181"/>
      <c r="V181" s="16"/>
      <c r="W181"/>
      <c r="X181"/>
      <c r="Y181" s="23"/>
      <c r="Z181" s="23"/>
      <c r="AA181" s="24"/>
      <c r="AB181" s="24"/>
      <c r="AC181" s="39"/>
      <c r="AI181" s="1"/>
      <c r="AJ181" s="1"/>
      <c r="AK181" s="1"/>
      <c r="AL181" s="1"/>
      <c r="AM181" s="1"/>
    </row>
    <row r="182" spans="17:39">
      <c r="Q182" s="3"/>
      <c r="R182" s="62"/>
      <c r="S182" s="63"/>
      <c r="T182"/>
      <c r="U182"/>
      <c r="V182" s="16"/>
      <c r="W182"/>
      <c r="X182"/>
      <c r="Y182" s="23"/>
      <c r="Z182" s="23"/>
      <c r="AA182" s="24"/>
      <c r="AB182" s="24"/>
      <c r="AC182" s="39"/>
      <c r="AI182" s="1"/>
      <c r="AJ182" s="1"/>
      <c r="AK182" s="1"/>
      <c r="AL182" s="1"/>
      <c r="AM182" s="1"/>
    </row>
    <row r="183" spans="17:39">
      <c r="Q183" s="3"/>
      <c r="R183" s="62"/>
      <c r="S183" s="63"/>
      <c r="T183"/>
      <c r="U183"/>
      <c r="V183" s="16"/>
      <c r="W183"/>
      <c r="X183"/>
      <c r="Y183" s="23"/>
      <c r="Z183" s="23"/>
      <c r="AA183" s="24"/>
      <c r="AB183" s="24"/>
      <c r="AC183" s="39"/>
      <c r="AI183" s="1"/>
      <c r="AJ183" s="1"/>
      <c r="AK183" s="1"/>
      <c r="AL183" s="1"/>
      <c r="AM183" s="1"/>
    </row>
    <row r="184" spans="17:39">
      <c r="Q184" s="3"/>
      <c r="R184" s="62"/>
      <c r="S184" s="63"/>
      <c r="T184"/>
      <c r="U184"/>
      <c r="V184" s="16"/>
      <c r="W184"/>
      <c r="X184"/>
      <c r="Y184" s="23"/>
      <c r="Z184" s="23"/>
      <c r="AA184" s="24"/>
      <c r="AB184" s="24"/>
      <c r="AC184" s="39"/>
      <c r="AI184" s="1"/>
      <c r="AJ184" s="1"/>
      <c r="AK184" s="1"/>
      <c r="AL184" s="1"/>
      <c r="AM184" s="1"/>
    </row>
    <row r="185" spans="17:39">
      <c r="Q185" s="3"/>
      <c r="R185" s="62"/>
      <c r="S185" s="63"/>
      <c r="T185"/>
      <c r="U185"/>
      <c r="V185" s="16"/>
      <c r="W185"/>
      <c r="X185"/>
      <c r="Y185" s="23"/>
      <c r="Z185" s="23"/>
      <c r="AA185" s="24"/>
      <c r="AB185" s="24"/>
      <c r="AC185" s="39"/>
      <c r="AI185" s="1"/>
      <c r="AJ185" s="1"/>
      <c r="AK185" s="1"/>
      <c r="AL185" s="1"/>
      <c r="AM185" s="1"/>
    </row>
    <row r="186" spans="17:39">
      <c r="Q186" s="3"/>
      <c r="R186" s="62"/>
      <c r="S186" s="63"/>
      <c r="T186"/>
      <c r="U186"/>
      <c r="V186" s="16"/>
      <c r="W186"/>
      <c r="X186"/>
      <c r="Y186" s="23"/>
      <c r="Z186" s="23"/>
      <c r="AA186" s="24"/>
      <c r="AB186" s="24"/>
      <c r="AC186" s="39"/>
      <c r="AI186" s="1"/>
      <c r="AJ186" s="1"/>
      <c r="AK186" s="1"/>
      <c r="AL186" s="1"/>
      <c r="AM186" s="1"/>
    </row>
    <row r="187" spans="17:39">
      <c r="Q187" s="3"/>
      <c r="R187" s="62"/>
      <c r="S187" s="63"/>
      <c r="T187"/>
      <c r="U187"/>
      <c r="V187" s="16"/>
      <c r="W187"/>
      <c r="X187"/>
      <c r="Y187" s="23"/>
      <c r="Z187" s="23"/>
      <c r="AA187" s="24"/>
      <c r="AB187" s="24"/>
      <c r="AC187" s="39"/>
      <c r="AI187" s="1"/>
      <c r="AJ187" s="1"/>
      <c r="AK187" s="1"/>
      <c r="AL187" s="1"/>
      <c r="AM187" s="1"/>
    </row>
    <row r="188" spans="17:39">
      <c r="Q188" s="3"/>
      <c r="R188" s="62"/>
      <c r="S188" s="63"/>
      <c r="T188"/>
      <c r="U188"/>
      <c r="V188" s="16"/>
      <c r="W188"/>
      <c r="X188"/>
      <c r="Y188" s="23"/>
      <c r="Z188" s="23"/>
      <c r="AA188" s="24"/>
      <c r="AB188" s="24"/>
      <c r="AC188" s="39"/>
      <c r="AI188" s="1"/>
      <c r="AJ188" s="1"/>
      <c r="AK188" s="1"/>
      <c r="AL188" s="1"/>
      <c r="AM188" s="1"/>
    </row>
    <row r="189" spans="17:39">
      <c r="Q189" s="3"/>
      <c r="R189" s="62"/>
      <c r="S189" s="63"/>
      <c r="T189"/>
      <c r="U189"/>
      <c r="V189" s="16"/>
      <c r="W189"/>
      <c r="X189"/>
      <c r="Y189" s="23"/>
      <c r="Z189" s="23"/>
      <c r="AA189" s="24"/>
      <c r="AB189" s="24"/>
      <c r="AC189" s="39"/>
      <c r="AI189" s="1"/>
      <c r="AJ189" s="1"/>
      <c r="AK189" s="1"/>
      <c r="AL189" s="1"/>
      <c r="AM189" s="1"/>
    </row>
    <row r="190" spans="17:39">
      <c r="Q190" s="3"/>
      <c r="R190" s="62"/>
      <c r="S190" s="63"/>
      <c r="T190"/>
      <c r="U190"/>
      <c r="V190" s="16"/>
      <c r="W190"/>
      <c r="X190"/>
      <c r="Y190" s="23"/>
      <c r="Z190" s="23"/>
      <c r="AA190" s="24"/>
      <c r="AB190" s="24"/>
      <c r="AC190" s="39"/>
      <c r="AI190" s="1"/>
      <c r="AJ190" s="1"/>
      <c r="AK190" s="1"/>
      <c r="AL190" s="1"/>
      <c r="AM190" s="1"/>
    </row>
    <row r="191" spans="17:39">
      <c r="Q191" s="3"/>
      <c r="R191" s="62"/>
      <c r="S191" s="63"/>
      <c r="T191"/>
      <c r="U191"/>
      <c r="V191" s="16"/>
      <c r="W191"/>
      <c r="X191"/>
      <c r="Y191" s="23"/>
      <c r="Z191" s="23"/>
      <c r="AA191" s="24"/>
      <c r="AB191" s="24"/>
      <c r="AC191" s="39"/>
      <c r="AI191" s="1"/>
      <c r="AJ191" s="1"/>
      <c r="AK191" s="1"/>
      <c r="AL191" s="1"/>
      <c r="AM191" s="1"/>
    </row>
    <row r="192" spans="17:39">
      <c r="Q192" s="3"/>
      <c r="R192" s="62"/>
      <c r="S192" s="63"/>
      <c r="T192"/>
      <c r="U192"/>
      <c r="V192" s="16"/>
      <c r="W192"/>
      <c r="X192"/>
      <c r="Y192" s="23"/>
      <c r="Z192" s="23"/>
      <c r="AA192" s="24"/>
      <c r="AB192" s="24"/>
      <c r="AC192" s="39"/>
      <c r="AI192" s="1"/>
      <c r="AJ192" s="1"/>
      <c r="AK192" s="1"/>
      <c r="AL192" s="1"/>
      <c r="AM192" s="1"/>
    </row>
    <row r="193" spans="17:39">
      <c r="Q193" s="3"/>
      <c r="R193" s="62"/>
      <c r="S193" s="63"/>
      <c r="T193"/>
      <c r="U193"/>
      <c r="V193" s="16"/>
      <c r="W193"/>
      <c r="X193"/>
      <c r="Y193" s="23"/>
      <c r="Z193" s="23"/>
      <c r="AA193" s="24"/>
      <c r="AB193" s="24"/>
      <c r="AC193" s="39"/>
      <c r="AI193" s="1"/>
      <c r="AJ193" s="1"/>
      <c r="AK193" s="1"/>
      <c r="AL193" s="1"/>
      <c r="AM193" s="1"/>
    </row>
    <row r="194" spans="17:39">
      <c r="Q194" s="3"/>
      <c r="R194" s="62"/>
      <c r="S194" s="63"/>
      <c r="T194"/>
      <c r="U194"/>
      <c r="V194" s="16"/>
      <c r="W194"/>
      <c r="X194"/>
      <c r="Y194" s="23"/>
      <c r="Z194" s="23"/>
      <c r="AA194" s="24"/>
      <c r="AB194" s="24"/>
      <c r="AC194" s="39"/>
      <c r="AI194" s="1"/>
      <c r="AJ194" s="1"/>
      <c r="AK194" s="1"/>
      <c r="AL194" s="1"/>
      <c r="AM194" s="1"/>
    </row>
    <row r="195" spans="17:39">
      <c r="Q195" s="3"/>
      <c r="R195" s="62"/>
      <c r="S195" s="63"/>
      <c r="T195"/>
      <c r="U195"/>
      <c r="V195" s="16"/>
      <c r="W195"/>
      <c r="X195"/>
      <c r="Y195" s="23"/>
      <c r="Z195" s="23"/>
      <c r="AA195" s="24"/>
      <c r="AB195" s="24"/>
      <c r="AC195" s="39"/>
      <c r="AI195" s="1"/>
      <c r="AJ195" s="1"/>
      <c r="AK195" s="1"/>
      <c r="AL195" s="1"/>
      <c r="AM195" s="1"/>
    </row>
    <row r="196" spans="17:39">
      <c r="Q196" s="3"/>
      <c r="R196" s="62"/>
      <c r="S196" s="63"/>
      <c r="T196"/>
      <c r="U196"/>
      <c r="V196" s="16"/>
      <c r="W196"/>
      <c r="X196"/>
      <c r="Y196" s="23"/>
      <c r="Z196" s="23"/>
      <c r="AA196" s="24"/>
      <c r="AB196" s="24"/>
      <c r="AC196" s="39"/>
      <c r="AI196" s="1"/>
      <c r="AJ196" s="1"/>
      <c r="AK196" s="1"/>
      <c r="AL196" s="1"/>
      <c r="AM196" s="1"/>
    </row>
    <row r="197" spans="17:39">
      <c r="Q197" s="3"/>
      <c r="R197" s="62"/>
      <c r="S197" s="63"/>
      <c r="T197"/>
      <c r="U197"/>
      <c r="V197" s="16"/>
      <c r="W197"/>
      <c r="X197"/>
      <c r="Y197" s="23"/>
      <c r="Z197" s="23"/>
      <c r="AA197" s="24"/>
      <c r="AB197" s="24"/>
      <c r="AC197" s="39"/>
      <c r="AI197" s="1"/>
      <c r="AJ197" s="1"/>
      <c r="AK197" s="1"/>
      <c r="AL197" s="1"/>
      <c r="AM197" s="1"/>
    </row>
    <row r="198" spans="17:39">
      <c r="Q198" s="3"/>
      <c r="R198" s="62"/>
      <c r="S198" s="63"/>
      <c r="T198"/>
      <c r="U198"/>
      <c r="V198" s="16"/>
      <c r="W198"/>
      <c r="X198"/>
      <c r="Y198" s="23"/>
      <c r="Z198" s="23"/>
      <c r="AA198" s="24"/>
      <c r="AB198" s="24"/>
      <c r="AC198" s="39"/>
      <c r="AI198" s="1"/>
      <c r="AJ198" s="1"/>
      <c r="AK198" s="1"/>
      <c r="AL198" s="1"/>
      <c r="AM198" s="1"/>
    </row>
    <row r="199" spans="17:39">
      <c r="Q199" s="3"/>
      <c r="R199" s="62"/>
      <c r="S199" s="63"/>
      <c r="T199"/>
      <c r="U199"/>
      <c r="V199" s="16"/>
      <c r="W199"/>
      <c r="X199"/>
      <c r="Y199" s="23"/>
      <c r="Z199" s="23"/>
      <c r="AA199" s="24"/>
      <c r="AB199" s="24"/>
      <c r="AC199" s="39"/>
      <c r="AI199" s="1"/>
      <c r="AJ199" s="1"/>
      <c r="AK199" s="1"/>
      <c r="AL199" s="1"/>
      <c r="AM199" s="1"/>
    </row>
    <row r="200" spans="17:39">
      <c r="Q200" s="3"/>
      <c r="R200" s="62"/>
      <c r="S200" s="63"/>
      <c r="T200"/>
      <c r="U200"/>
      <c r="V200" s="16"/>
      <c r="W200"/>
      <c r="X200"/>
      <c r="Y200" s="23"/>
      <c r="Z200" s="23"/>
      <c r="AA200" s="24"/>
      <c r="AB200" s="24"/>
      <c r="AC200" s="39"/>
      <c r="AI200" s="1"/>
      <c r="AJ200" s="1"/>
      <c r="AK200" s="1"/>
      <c r="AL200" s="1"/>
      <c r="AM200" s="1"/>
    </row>
    <row r="201" spans="17:39">
      <c r="Q201" s="3"/>
      <c r="R201" s="62"/>
      <c r="S201" s="63"/>
      <c r="T201"/>
      <c r="U201"/>
      <c r="V201" s="16"/>
      <c r="W201"/>
      <c r="X201"/>
      <c r="Y201" s="23"/>
      <c r="Z201" s="23"/>
      <c r="AA201" s="24"/>
      <c r="AB201" s="24"/>
      <c r="AC201" s="39"/>
      <c r="AI201" s="1"/>
      <c r="AJ201" s="1"/>
      <c r="AK201" s="1"/>
      <c r="AL201" s="1"/>
      <c r="AM201" s="1"/>
    </row>
    <row r="202" spans="17:39">
      <c r="Q202" s="3"/>
      <c r="R202" s="62"/>
      <c r="S202" s="63"/>
      <c r="T202"/>
      <c r="U202"/>
      <c r="V202" s="16"/>
      <c r="W202"/>
      <c r="X202"/>
      <c r="Y202" s="23"/>
      <c r="Z202" s="23"/>
      <c r="AA202" s="24"/>
      <c r="AB202" s="24"/>
      <c r="AC202" s="39"/>
      <c r="AI202" s="1"/>
      <c r="AJ202" s="1"/>
      <c r="AK202" s="1"/>
      <c r="AL202" s="1"/>
      <c r="AM202" s="1"/>
    </row>
    <row r="203" spans="17:39">
      <c r="Q203" s="3"/>
      <c r="R203" s="62"/>
      <c r="S203" s="63"/>
      <c r="T203"/>
      <c r="U203"/>
      <c r="V203" s="16"/>
      <c r="W203"/>
      <c r="X203"/>
      <c r="Y203" s="23"/>
      <c r="Z203" s="23"/>
      <c r="AA203" s="24"/>
      <c r="AB203" s="24"/>
      <c r="AC203" s="39"/>
      <c r="AI203" s="1"/>
      <c r="AJ203" s="1"/>
      <c r="AK203" s="1"/>
      <c r="AL203" s="1"/>
      <c r="AM203" s="1"/>
    </row>
    <row r="204" spans="17:39">
      <c r="Q204" s="3"/>
      <c r="R204" s="62"/>
      <c r="S204" s="63"/>
      <c r="T204"/>
      <c r="U204"/>
      <c r="V204" s="16"/>
      <c r="W204"/>
      <c r="X204"/>
      <c r="Y204" s="23"/>
      <c r="Z204" s="23"/>
      <c r="AA204" s="24"/>
      <c r="AB204" s="24"/>
      <c r="AC204" s="39"/>
      <c r="AI204" s="1"/>
      <c r="AJ204" s="1"/>
      <c r="AK204" s="1"/>
      <c r="AL204" s="1"/>
      <c r="AM204" s="1"/>
    </row>
    <row r="205" spans="17:39">
      <c r="Q205" s="3"/>
      <c r="R205" s="62"/>
      <c r="S205" s="63"/>
      <c r="T205"/>
      <c r="U205"/>
      <c r="V205" s="16"/>
      <c r="W205"/>
      <c r="X205"/>
      <c r="Y205"/>
      <c r="Z205"/>
      <c r="AC205" s="39"/>
      <c r="AI205" s="1"/>
      <c r="AJ205" s="1"/>
      <c r="AK205" s="1"/>
      <c r="AL205" s="1"/>
      <c r="AM205" s="1"/>
    </row>
    <row r="206" spans="17:39">
      <c r="Q206" s="3"/>
      <c r="R206" s="62"/>
      <c r="S206" s="63"/>
      <c r="T206"/>
      <c r="U206"/>
      <c r="V206" s="16"/>
      <c r="W206"/>
      <c r="X206"/>
      <c r="Y206"/>
      <c r="Z206"/>
      <c r="AC206" s="39"/>
      <c r="AI206" s="1"/>
      <c r="AJ206" s="1"/>
      <c r="AK206" s="1"/>
      <c r="AL206" s="1"/>
      <c r="AM206" s="1"/>
    </row>
    <row r="207" spans="17:39">
      <c r="Q207" s="3"/>
      <c r="R207" s="62"/>
      <c r="S207" s="63"/>
      <c r="T207"/>
      <c r="U207"/>
      <c r="V207" s="16"/>
      <c r="W207"/>
      <c r="X207"/>
      <c r="Y207"/>
      <c r="Z207"/>
      <c r="AC207" s="39"/>
      <c r="AI207" s="1"/>
      <c r="AJ207" s="1"/>
      <c r="AK207" s="1"/>
      <c r="AL207" s="1"/>
      <c r="AM207" s="1"/>
    </row>
    <row r="208" spans="17:39">
      <c r="Q208" s="3"/>
      <c r="R208" s="62"/>
      <c r="S208" s="63"/>
      <c r="T208"/>
      <c r="U208"/>
      <c r="V208" s="16"/>
      <c r="W208"/>
      <c r="X208"/>
      <c r="Y208"/>
      <c r="Z208"/>
      <c r="AC208" s="39"/>
      <c r="AI208" s="1"/>
      <c r="AJ208" s="1"/>
      <c r="AK208" s="1"/>
      <c r="AL208" s="1"/>
      <c r="AM208" s="1"/>
    </row>
    <row r="209" spans="17:39">
      <c r="Q209" s="3"/>
      <c r="R209" s="62"/>
      <c r="S209" s="63"/>
      <c r="T209"/>
      <c r="U209"/>
      <c r="V209" s="16"/>
      <c r="W209"/>
      <c r="X209"/>
      <c r="Y209"/>
      <c r="Z209"/>
      <c r="AC209" s="39"/>
      <c r="AI209" s="1"/>
      <c r="AJ209" s="1"/>
      <c r="AK209" s="1"/>
      <c r="AL209" s="1"/>
      <c r="AM209" s="1"/>
    </row>
    <row r="210" spans="17:39">
      <c r="Q210" s="3"/>
      <c r="R210" s="62"/>
      <c r="S210" s="63"/>
      <c r="T210"/>
      <c r="U210"/>
      <c r="V210" s="16"/>
      <c r="W210"/>
      <c r="X210"/>
      <c r="Y210"/>
      <c r="Z210"/>
      <c r="AC210" s="24"/>
      <c r="AD210" s="43"/>
      <c r="AE210" s="43"/>
    </row>
    <row r="211" spans="17:39">
      <c r="Q211" s="3"/>
      <c r="R211" s="62"/>
      <c r="S211" s="63"/>
      <c r="T211"/>
      <c r="U211"/>
      <c r="V211" s="16"/>
      <c r="W211"/>
      <c r="X211"/>
      <c r="Y211"/>
      <c r="Z211"/>
      <c r="AC211" s="24"/>
      <c r="AD211" s="43"/>
      <c r="AE211" s="43"/>
    </row>
    <row r="212" spans="17:39">
      <c r="Q212" s="3"/>
      <c r="R212" s="62"/>
      <c r="S212" s="63"/>
      <c r="T212"/>
      <c r="U212"/>
      <c r="V212" s="16"/>
      <c r="W212"/>
      <c r="X212"/>
      <c r="Y212"/>
      <c r="Z212"/>
      <c r="AC212" s="24"/>
      <c r="AD212" s="43"/>
      <c r="AE212" s="43"/>
    </row>
    <row r="213" spans="17:39">
      <c r="Q213" s="3"/>
      <c r="R213" s="62"/>
      <c r="S213" s="63"/>
      <c r="T213"/>
      <c r="U213"/>
      <c r="V213" s="16"/>
      <c r="W213"/>
      <c r="X213"/>
      <c r="Y213"/>
      <c r="Z213"/>
      <c r="AC213" s="24"/>
      <c r="AD213" s="43"/>
      <c r="AE213" s="43"/>
    </row>
    <row r="214" spans="17:39">
      <c r="Q214" s="3"/>
      <c r="R214" s="62"/>
      <c r="S214" s="63"/>
      <c r="T214"/>
      <c r="U214"/>
      <c r="V214" s="16"/>
      <c r="W214"/>
      <c r="X214"/>
      <c r="Y214"/>
      <c r="Z214"/>
      <c r="AC214" s="24"/>
      <c r="AD214" s="43"/>
      <c r="AE214" s="43"/>
    </row>
    <row r="215" spans="17:39">
      <c r="Q215" s="3"/>
      <c r="R215" s="62"/>
      <c r="S215" s="63"/>
      <c r="T215"/>
      <c r="U215"/>
      <c r="V215" s="16"/>
      <c r="W215"/>
      <c r="X215"/>
      <c r="Y215"/>
      <c r="Z215"/>
      <c r="AC215" s="24"/>
      <c r="AD215" s="43"/>
      <c r="AE215" s="43"/>
    </row>
    <row r="216" spans="17:39">
      <c r="Q216" s="3"/>
      <c r="R216" s="62"/>
      <c r="S216" s="63"/>
      <c r="T216"/>
      <c r="U216"/>
      <c r="V216" s="16"/>
      <c r="W216"/>
      <c r="X216"/>
      <c r="Y216"/>
      <c r="Z216"/>
      <c r="AC216" s="24"/>
      <c r="AD216" s="43"/>
      <c r="AE216" s="43"/>
    </row>
    <row r="217" spans="17:39">
      <c r="Q217" s="3"/>
      <c r="R217" s="62"/>
      <c r="S217" s="63"/>
      <c r="T217"/>
      <c r="U217"/>
      <c r="V217" s="16"/>
      <c r="W217"/>
      <c r="X217"/>
      <c r="Y217"/>
      <c r="Z217"/>
      <c r="AC217" s="24"/>
      <c r="AD217" s="43"/>
      <c r="AE217" s="43"/>
    </row>
    <row r="218" spans="17:39">
      <c r="Q218" s="3"/>
      <c r="R218" s="62"/>
      <c r="S218" s="63"/>
      <c r="T218"/>
      <c r="U218"/>
      <c r="V218" s="16"/>
      <c r="W218"/>
      <c r="X218"/>
      <c r="Y218"/>
      <c r="Z218"/>
      <c r="AC218" s="24"/>
      <c r="AD218" s="43"/>
      <c r="AE218" s="43"/>
    </row>
    <row r="219" spans="17:39">
      <c r="Q219" s="3"/>
      <c r="R219" s="62"/>
      <c r="S219" s="63"/>
      <c r="T219"/>
      <c r="U219"/>
      <c r="V219" s="16"/>
      <c r="W219"/>
      <c r="X219"/>
      <c r="Y219"/>
      <c r="Z219"/>
      <c r="AC219" s="24"/>
      <c r="AD219" s="43"/>
      <c r="AE219" s="43"/>
    </row>
    <row r="220" spans="17:39">
      <c r="Q220" s="3"/>
      <c r="R220" s="62"/>
      <c r="S220" s="63"/>
      <c r="T220"/>
      <c r="U220"/>
      <c r="V220" s="16"/>
      <c r="W220"/>
      <c r="X220"/>
      <c r="Y220"/>
      <c r="Z220"/>
      <c r="AC220" s="24"/>
      <c r="AD220" s="43"/>
      <c r="AE220" s="43"/>
    </row>
    <row r="221" spans="17:39">
      <c r="Q221" s="3"/>
      <c r="R221" s="62"/>
      <c r="S221" s="63"/>
      <c r="T221"/>
      <c r="U221"/>
      <c r="V221" s="16"/>
      <c r="W221"/>
      <c r="X221"/>
      <c r="Y221"/>
      <c r="Z221"/>
      <c r="AC221" s="24"/>
      <c r="AD221" s="43"/>
      <c r="AE221" s="43"/>
    </row>
    <row r="222" spans="17:39">
      <c r="Q222" s="3"/>
      <c r="R222" s="62"/>
      <c r="S222" s="63"/>
      <c r="T222"/>
      <c r="U222"/>
      <c r="V222" s="16"/>
      <c r="W222"/>
      <c r="X222"/>
      <c r="Y222"/>
      <c r="Z222"/>
      <c r="AC222" s="24"/>
      <c r="AD222" s="43"/>
      <c r="AE222" s="43"/>
    </row>
    <row r="223" spans="17:39">
      <c r="Q223" s="3"/>
      <c r="R223" s="62"/>
      <c r="S223" s="63"/>
      <c r="T223"/>
      <c r="U223"/>
      <c r="V223" s="16"/>
      <c r="W223"/>
      <c r="X223"/>
      <c r="Y223"/>
      <c r="Z223"/>
      <c r="AC223" s="24"/>
      <c r="AD223" s="43"/>
      <c r="AE223" s="43"/>
    </row>
    <row r="224" spans="17:39">
      <c r="Q224" s="3"/>
      <c r="R224" s="62"/>
      <c r="S224" s="63"/>
      <c r="T224"/>
      <c r="U224"/>
      <c r="V224" s="16"/>
      <c r="W224"/>
      <c r="X224"/>
      <c r="Y224"/>
      <c r="Z224"/>
      <c r="AC224" s="24"/>
      <c r="AD224" s="43"/>
      <c r="AE224" s="43"/>
    </row>
    <row r="225" spans="17:31">
      <c r="Q225" s="3"/>
      <c r="R225" s="62"/>
      <c r="S225" s="63"/>
      <c r="T225"/>
      <c r="U225"/>
      <c r="V225" s="16"/>
      <c r="W225"/>
      <c r="X225"/>
      <c r="Y225"/>
      <c r="Z225"/>
      <c r="AC225" s="24"/>
      <c r="AD225" s="43"/>
      <c r="AE225" s="43"/>
    </row>
    <row r="226" spans="17:31">
      <c r="Q226" s="3"/>
      <c r="R226" s="62"/>
      <c r="S226" s="63"/>
      <c r="T226"/>
      <c r="U226"/>
      <c r="V226" s="16"/>
      <c r="W226"/>
      <c r="X226"/>
      <c r="Y226"/>
      <c r="Z226"/>
      <c r="AC226" s="24"/>
      <c r="AD226" s="43"/>
      <c r="AE226" s="43"/>
    </row>
    <row r="227" spans="17:31">
      <c r="Q227" s="3"/>
      <c r="R227" s="62"/>
      <c r="S227" s="63"/>
      <c r="T227"/>
      <c r="U227"/>
      <c r="V227" s="16"/>
      <c r="W227"/>
      <c r="X227"/>
      <c r="Y227"/>
      <c r="Z227"/>
      <c r="AC227" s="24"/>
      <c r="AD227" s="43"/>
      <c r="AE227" s="43"/>
    </row>
    <row r="228" spans="17:31">
      <c r="Q228" s="3"/>
      <c r="R228" s="62"/>
      <c r="S228" s="63"/>
      <c r="T228"/>
      <c r="U228"/>
      <c r="V228" s="16"/>
      <c r="W228"/>
      <c r="X228"/>
      <c r="Y228"/>
      <c r="Z228"/>
      <c r="AC228" s="24"/>
      <c r="AD228" s="43"/>
      <c r="AE228" s="43"/>
    </row>
    <row r="229" spans="17:31">
      <c r="Q229" s="3"/>
      <c r="R229" s="62"/>
      <c r="S229" s="63"/>
      <c r="T229"/>
      <c r="U229"/>
      <c r="V229" s="16"/>
      <c r="W229"/>
      <c r="X229"/>
      <c r="Y229"/>
      <c r="Z229"/>
      <c r="AC229" s="24"/>
      <c r="AD229" s="43"/>
      <c r="AE229" s="43"/>
    </row>
    <row r="230" spans="17:31">
      <c r="Q230" s="3"/>
      <c r="R230" s="62"/>
      <c r="S230" s="63"/>
      <c r="T230"/>
      <c r="U230"/>
      <c r="V230" s="16"/>
      <c r="W230"/>
      <c r="X230"/>
      <c r="Y230"/>
      <c r="Z230"/>
      <c r="AC230" s="24"/>
      <c r="AD230" s="43"/>
      <c r="AE230" s="43"/>
    </row>
    <row r="231" spans="17:31">
      <c r="Q231" s="3"/>
      <c r="R231" s="62"/>
      <c r="S231" s="63"/>
      <c r="T231"/>
      <c r="U231"/>
      <c r="V231" s="16"/>
      <c r="W231"/>
      <c r="X231"/>
      <c r="Y231"/>
      <c r="Z231"/>
      <c r="AC231" s="24"/>
      <c r="AD231" s="43"/>
      <c r="AE231" s="43"/>
    </row>
    <row r="232" spans="17:31">
      <c r="Q232" s="3"/>
      <c r="R232" s="62"/>
      <c r="S232" s="63"/>
      <c r="T232"/>
      <c r="U232"/>
      <c r="V232" s="16"/>
      <c r="W232"/>
      <c r="X232"/>
      <c r="Y232"/>
      <c r="Z232"/>
      <c r="AC232" s="24"/>
      <c r="AD232" s="43"/>
      <c r="AE232" s="43"/>
    </row>
    <row r="233" spans="17:31">
      <c r="Q233" s="3"/>
      <c r="R233" s="62"/>
      <c r="S233" s="63"/>
      <c r="T233"/>
      <c r="U233"/>
      <c r="V233" s="16"/>
      <c r="W233"/>
      <c r="X233"/>
      <c r="Y233"/>
      <c r="Z233"/>
      <c r="AC233" s="24"/>
      <c r="AD233" s="43"/>
      <c r="AE233" s="43"/>
    </row>
    <row r="234" spans="17:31">
      <c r="Q234" s="3"/>
      <c r="R234" s="62"/>
      <c r="S234" s="63"/>
      <c r="T234"/>
      <c r="U234"/>
      <c r="V234" s="16"/>
      <c r="W234"/>
      <c r="X234"/>
      <c r="Y234"/>
      <c r="Z234"/>
      <c r="AC234" s="24"/>
      <c r="AD234" s="43"/>
      <c r="AE234" s="43"/>
    </row>
    <row r="235" spans="17:31">
      <c r="Q235" s="3"/>
      <c r="R235" s="62"/>
      <c r="S235" s="63"/>
      <c r="T235"/>
      <c r="U235"/>
      <c r="V235" s="16"/>
      <c r="W235"/>
      <c r="X235"/>
      <c r="Y235"/>
      <c r="Z235"/>
      <c r="AC235" s="24"/>
      <c r="AD235" s="43"/>
      <c r="AE235" s="43"/>
    </row>
    <row r="236" spans="17:31">
      <c r="Q236" s="3"/>
      <c r="R236" s="62"/>
      <c r="S236" s="63"/>
      <c r="T236"/>
      <c r="U236"/>
      <c r="V236" s="16"/>
      <c r="W236"/>
      <c r="X236"/>
      <c r="Y236"/>
      <c r="Z236"/>
      <c r="AC236" s="24"/>
      <c r="AD236" s="43"/>
      <c r="AE236" s="43"/>
    </row>
    <row r="237" spans="17:31">
      <c r="Q237" s="3"/>
      <c r="R237" s="62"/>
      <c r="S237" s="63"/>
      <c r="T237"/>
      <c r="U237"/>
      <c r="V237" s="16"/>
      <c r="W237"/>
      <c r="X237"/>
      <c r="Y237"/>
      <c r="Z237"/>
      <c r="AC237" s="24"/>
      <c r="AD237" s="43"/>
      <c r="AE237" s="43"/>
    </row>
    <row r="238" spans="17:31">
      <c r="Q238" s="3"/>
      <c r="R238" s="62"/>
      <c r="S238" s="63"/>
      <c r="T238"/>
      <c r="U238"/>
      <c r="V238" s="16"/>
      <c r="W238"/>
      <c r="X238"/>
      <c r="Y238"/>
      <c r="Z238"/>
      <c r="AC238" s="24"/>
      <c r="AD238" s="43"/>
      <c r="AE238" s="43"/>
    </row>
    <row r="239" spans="17:31">
      <c r="Q239" s="3"/>
      <c r="R239" s="62"/>
      <c r="S239" s="63"/>
      <c r="T239"/>
      <c r="U239"/>
      <c r="V239" s="16"/>
      <c r="W239"/>
      <c r="X239"/>
      <c r="Y239"/>
      <c r="Z239"/>
      <c r="AC239" s="24"/>
      <c r="AD239" s="43"/>
      <c r="AE239" s="43"/>
    </row>
    <row r="240" spans="17:31">
      <c r="Q240" s="3"/>
      <c r="R240" s="62"/>
      <c r="S240" s="63"/>
      <c r="T240"/>
      <c r="U240"/>
      <c r="V240" s="16"/>
      <c r="W240"/>
      <c r="X240"/>
      <c r="Y240"/>
      <c r="Z240"/>
      <c r="AC240" s="24"/>
      <c r="AD240" s="43"/>
      <c r="AE240" s="43"/>
    </row>
    <row r="241" spans="17:31">
      <c r="Q241" s="3"/>
      <c r="R241" s="62"/>
      <c r="S241" s="63"/>
      <c r="T241"/>
      <c r="U241"/>
      <c r="V241" s="16"/>
      <c r="W241"/>
      <c r="X241"/>
      <c r="Y241"/>
      <c r="Z241"/>
      <c r="AC241" s="24"/>
      <c r="AD241" s="43"/>
      <c r="AE241" s="43"/>
    </row>
    <row r="242" spans="17:31">
      <c r="Q242" s="3"/>
      <c r="R242" s="62"/>
      <c r="S242" s="63"/>
      <c r="T242"/>
      <c r="U242"/>
      <c r="V242" s="16"/>
      <c r="W242"/>
      <c r="X242"/>
      <c r="Y242"/>
      <c r="Z242"/>
      <c r="AC242" s="24"/>
      <c r="AD242" s="43"/>
      <c r="AE242" s="43"/>
    </row>
    <row r="243" spans="17:31">
      <c r="Q243" s="3"/>
      <c r="R243" s="62"/>
      <c r="S243" s="63"/>
      <c r="T243"/>
      <c r="U243"/>
      <c r="V243" s="16"/>
      <c r="W243"/>
      <c r="X243"/>
      <c r="Y243"/>
      <c r="Z243"/>
      <c r="AC243" s="24"/>
      <c r="AD243" s="43"/>
      <c r="AE243" s="43"/>
    </row>
    <row r="244" spans="17:31">
      <c r="Q244" s="3"/>
      <c r="R244" s="62"/>
      <c r="S244" s="63"/>
      <c r="T244"/>
      <c r="U244"/>
      <c r="V244" s="16"/>
      <c r="W244"/>
      <c r="X244"/>
      <c r="Y244"/>
      <c r="Z244"/>
      <c r="AC244" s="24"/>
      <c r="AD244" s="43"/>
      <c r="AE244" s="43"/>
    </row>
    <row r="245" spans="17:31">
      <c r="Q245" s="3"/>
      <c r="R245" s="62"/>
      <c r="S245" s="63"/>
      <c r="T245"/>
      <c r="U245"/>
      <c r="V245" s="16"/>
      <c r="W245"/>
      <c r="X245"/>
      <c r="Y245"/>
      <c r="Z245"/>
      <c r="AC245" s="24"/>
      <c r="AD245" s="43"/>
      <c r="AE245" s="43"/>
    </row>
    <row r="246" spans="17:31">
      <c r="Q246" s="3"/>
      <c r="R246" s="62"/>
      <c r="S246" s="63"/>
      <c r="T246"/>
      <c r="U246"/>
      <c r="V246" s="16"/>
      <c r="W246"/>
      <c r="X246"/>
      <c r="Y246"/>
      <c r="Z246"/>
      <c r="AC246" s="24"/>
      <c r="AD246" s="43"/>
      <c r="AE246" s="43"/>
    </row>
    <row r="247" spans="17:31">
      <c r="Q247" s="3"/>
      <c r="R247" s="62"/>
      <c r="S247" s="63"/>
      <c r="T247"/>
      <c r="U247"/>
      <c r="V247" s="16"/>
      <c r="W247"/>
      <c r="X247"/>
      <c r="Y247"/>
      <c r="Z247"/>
      <c r="AC247" s="24"/>
      <c r="AD247" s="43"/>
      <c r="AE247" s="43"/>
    </row>
    <row r="248" spans="17:31">
      <c r="Q248" s="3"/>
      <c r="R248" s="62"/>
      <c r="S248" s="63"/>
      <c r="T248"/>
      <c r="U248"/>
      <c r="V248" s="16"/>
      <c r="W248"/>
      <c r="X248"/>
      <c r="Y248"/>
      <c r="Z248"/>
      <c r="AC248" s="24"/>
      <c r="AD248" s="43"/>
      <c r="AE248" s="43"/>
    </row>
    <row r="249" spans="17:31">
      <c r="Q249" s="3"/>
      <c r="R249" s="62"/>
      <c r="S249" s="63"/>
      <c r="T249"/>
      <c r="U249"/>
      <c r="V249" s="16"/>
      <c r="W249"/>
      <c r="X249"/>
      <c r="Y249"/>
      <c r="Z249"/>
      <c r="AC249" s="24"/>
      <c r="AD249" s="43"/>
      <c r="AE249" s="43"/>
    </row>
    <row r="250" spans="17:31">
      <c r="Q250" s="3"/>
      <c r="R250" s="62"/>
      <c r="S250" s="63"/>
      <c r="T250"/>
      <c r="U250"/>
      <c r="V250" s="16"/>
      <c r="W250"/>
      <c r="X250"/>
      <c r="Y250"/>
      <c r="Z250"/>
      <c r="AC250" s="24"/>
      <c r="AD250" s="43"/>
      <c r="AE250" s="43"/>
    </row>
    <row r="251" spans="17:31">
      <c r="Q251" s="3"/>
      <c r="R251" s="62"/>
      <c r="S251" s="63"/>
      <c r="T251"/>
      <c r="U251"/>
      <c r="V251" s="16"/>
      <c r="W251"/>
      <c r="X251"/>
      <c r="Y251"/>
      <c r="Z251"/>
      <c r="AC251" s="24"/>
      <c r="AD251" s="43"/>
      <c r="AE251" s="43"/>
    </row>
    <row r="252" spans="17:31">
      <c r="Q252" s="3"/>
      <c r="R252" s="62"/>
      <c r="S252" s="63"/>
      <c r="T252"/>
      <c r="U252"/>
      <c r="V252" s="16"/>
      <c r="W252"/>
      <c r="X252"/>
      <c r="Y252"/>
      <c r="Z252"/>
      <c r="AC252" s="24"/>
      <c r="AD252" s="43"/>
      <c r="AE252" s="43"/>
    </row>
    <row r="253" spans="17:31">
      <c r="Q253" s="3"/>
      <c r="R253" s="62"/>
      <c r="S253" s="63"/>
      <c r="T253"/>
      <c r="U253"/>
      <c r="V253" s="16"/>
      <c r="W253"/>
      <c r="X253"/>
      <c r="Y253"/>
      <c r="Z253"/>
      <c r="AC253" s="24"/>
      <c r="AD253" s="43"/>
      <c r="AE253" s="43"/>
    </row>
    <row r="254" spans="17:31">
      <c r="Q254" s="3"/>
      <c r="R254" s="62"/>
      <c r="S254" s="63"/>
      <c r="T254"/>
      <c r="U254"/>
      <c r="V254" s="16"/>
      <c r="W254"/>
      <c r="X254"/>
      <c r="Y254"/>
      <c r="Z254"/>
      <c r="AC254" s="24"/>
      <c r="AD254" s="43"/>
      <c r="AE254" s="43"/>
    </row>
    <row r="255" spans="17:31">
      <c r="Q255" s="3"/>
      <c r="R255" s="62"/>
      <c r="S255" s="63"/>
      <c r="T255"/>
      <c r="U255"/>
      <c r="V255" s="16"/>
      <c r="W255"/>
      <c r="X255"/>
      <c r="Y255"/>
      <c r="Z255"/>
      <c r="AC255" s="24"/>
      <c r="AD255" s="43"/>
      <c r="AE255" s="43"/>
    </row>
    <row r="256" spans="17:31">
      <c r="Q256" s="3"/>
      <c r="R256" s="62"/>
      <c r="S256" s="63"/>
      <c r="T256"/>
      <c r="U256"/>
      <c r="V256" s="16"/>
      <c r="W256"/>
      <c r="X256"/>
      <c r="Y256"/>
      <c r="Z256"/>
      <c r="AC256" s="24"/>
      <c r="AD256" s="43"/>
      <c r="AE256" s="43"/>
    </row>
    <row r="257" spans="17:31">
      <c r="Q257" s="3"/>
      <c r="R257" s="62"/>
      <c r="S257" s="63"/>
      <c r="T257"/>
      <c r="U257"/>
      <c r="V257" s="16"/>
      <c r="W257"/>
      <c r="X257"/>
      <c r="Y257"/>
      <c r="Z257"/>
      <c r="AC257" s="24"/>
      <c r="AD257" s="43"/>
      <c r="AE257" s="43"/>
    </row>
    <row r="258" spans="17:31">
      <c r="Q258" s="3"/>
      <c r="R258" s="62"/>
      <c r="S258" s="63"/>
      <c r="T258"/>
      <c r="U258"/>
      <c r="V258" s="16"/>
      <c r="W258"/>
      <c r="X258"/>
      <c r="Y258"/>
      <c r="Z258"/>
      <c r="AC258" s="24"/>
      <c r="AD258" s="43"/>
      <c r="AE258" s="43"/>
    </row>
    <row r="259" spans="17:31">
      <c r="Q259" s="3"/>
      <c r="R259" s="62"/>
      <c r="S259" s="63"/>
      <c r="T259"/>
      <c r="U259"/>
      <c r="V259" s="16"/>
      <c r="W259"/>
      <c r="X259"/>
      <c r="Y259"/>
      <c r="Z259"/>
      <c r="AC259" s="24"/>
      <c r="AD259" s="43"/>
      <c r="AE259" s="43"/>
    </row>
    <row r="260" spans="17:31">
      <c r="Q260" s="3"/>
      <c r="R260" s="62"/>
      <c r="S260" s="63"/>
      <c r="T260"/>
      <c r="U260"/>
      <c r="V260" s="16"/>
      <c r="W260"/>
      <c r="X260"/>
      <c r="Y260"/>
      <c r="Z260"/>
      <c r="AC260" s="24"/>
      <c r="AD260" s="43"/>
      <c r="AE260" s="43"/>
    </row>
    <row r="261" spans="17:31">
      <c r="Q261" s="3"/>
      <c r="R261" s="62"/>
      <c r="S261" s="63"/>
      <c r="T261"/>
      <c r="U261"/>
      <c r="V261" s="16"/>
      <c r="W261"/>
      <c r="X261"/>
      <c r="Y261"/>
      <c r="Z261"/>
      <c r="AC261" s="24"/>
      <c r="AD261" s="43"/>
      <c r="AE261" s="43"/>
    </row>
    <row r="262" spans="17:31">
      <c r="Q262" s="3"/>
      <c r="R262" s="62"/>
      <c r="S262" s="63"/>
      <c r="T262"/>
      <c r="U262"/>
      <c r="V262" s="16"/>
      <c r="W262"/>
      <c r="X262"/>
      <c r="Y262"/>
      <c r="Z262"/>
      <c r="AC262" s="24"/>
      <c r="AD262" s="43"/>
      <c r="AE262" s="43"/>
    </row>
    <row r="263" spans="17:31">
      <c r="Q263" s="3"/>
      <c r="R263" s="62"/>
      <c r="S263" s="63"/>
      <c r="T263"/>
      <c r="U263"/>
      <c r="V263" s="16"/>
      <c r="W263"/>
      <c r="X263"/>
      <c r="Y263"/>
      <c r="Z263"/>
      <c r="AC263" s="24"/>
      <c r="AD263" s="43"/>
      <c r="AE263" s="43"/>
    </row>
    <row r="264" spans="17:31">
      <c r="Q264" s="3"/>
      <c r="R264" s="62"/>
      <c r="S264" s="63"/>
      <c r="T264"/>
      <c r="U264"/>
      <c r="V264" s="16"/>
      <c r="W264"/>
      <c r="X264"/>
      <c r="Y264"/>
      <c r="Z264"/>
      <c r="AC264" s="24"/>
      <c r="AD264" s="43"/>
      <c r="AE264" s="43"/>
    </row>
    <row r="265" spans="17:31">
      <c r="Q265" s="3"/>
      <c r="R265" s="62"/>
      <c r="S265" s="63"/>
      <c r="T265"/>
      <c r="U265"/>
      <c r="V265" s="16"/>
      <c r="W265"/>
      <c r="X265"/>
      <c r="Y265"/>
      <c r="Z265"/>
      <c r="AC265" s="24"/>
      <c r="AD265" s="43"/>
      <c r="AE265" s="43"/>
    </row>
    <row r="266" spans="17:31">
      <c r="Q266" s="3"/>
      <c r="R266" s="62"/>
      <c r="S266" s="63"/>
      <c r="T266"/>
      <c r="U266"/>
      <c r="V266" s="16"/>
      <c r="W266"/>
      <c r="X266"/>
      <c r="Y266"/>
      <c r="Z266"/>
      <c r="AC266" s="24"/>
      <c r="AD266" s="43"/>
      <c r="AE266" s="43"/>
    </row>
    <row r="267" spans="17:31">
      <c r="Q267" s="3"/>
      <c r="R267" s="62"/>
      <c r="S267" s="63"/>
      <c r="T267"/>
      <c r="U267"/>
      <c r="V267" s="16"/>
      <c r="W267"/>
      <c r="X267"/>
      <c r="Y267"/>
      <c r="Z267"/>
      <c r="AC267" s="24"/>
      <c r="AD267" s="43"/>
      <c r="AE267" s="43"/>
    </row>
    <row r="268" spans="17:31">
      <c r="Q268" s="3"/>
      <c r="R268" s="62"/>
      <c r="S268" s="63"/>
      <c r="T268"/>
      <c r="U268"/>
      <c r="V268" s="16"/>
      <c r="W268"/>
      <c r="X268"/>
      <c r="Y268"/>
      <c r="Z268"/>
      <c r="AC268" s="24"/>
      <c r="AD268" s="43"/>
      <c r="AE268" s="43"/>
    </row>
    <row r="269" spans="17:31">
      <c r="Q269" s="3"/>
      <c r="R269" s="62"/>
      <c r="S269" s="63"/>
      <c r="T269"/>
      <c r="U269"/>
      <c r="V269" s="16"/>
      <c r="W269"/>
      <c r="X269"/>
      <c r="Y269"/>
      <c r="Z269"/>
      <c r="AC269" s="24"/>
      <c r="AD269" s="43"/>
      <c r="AE269" s="43"/>
    </row>
    <row r="270" spans="17:31">
      <c r="Q270" s="3"/>
      <c r="R270" s="62"/>
      <c r="S270" s="63"/>
      <c r="T270"/>
      <c r="U270"/>
      <c r="V270" s="16"/>
      <c r="W270"/>
      <c r="X270"/>
      <c r="Y270"/>
      <c r="Z270"/>
      <c r="AC270" s="24"/>
      <c r="AD270" s="43"/>
      <c r="AE270" s="43"/>
    </row>
    <row r="271" spans="17:31">
      <c r="Q271" s="3"/>
      <c r="R271" s="62"/>
      <c r="S271" s="63"/>
      <c r="T271"/>
      <c r="U271"/>
      <c r="V271" s="16"/>
      <c r="W271"/>
      <c r="X271"/>
      <c r="Y271"/>
      <c r="Z271"/>
      <c r="AC271" s="24"/>
      <c r="AD271" s="43"/>
      <c r="AE271" s="43"/>
    </row>
    <row r="272" spans="17:31">
      <c r="R272" s="62"/>
      <c r="S272" s="63"/>
      <c r="T272"/>
      <c r="U272"/>
      <c r="V272" s="16"/>
      <c r="W272"/>
      <c r="X272"/>
      <c r="Y272"/>
      <c r="Z272"/>
      <c r="AC272" s="24"/>
      <c r="AD272" s="43"/>
      <c r="AE272" s="43"/>
    </row>
    <row r="273" spans="18:31">
      <c r="R273" s="62"/>
      <c r="S273" s="63"/>
      <c r="T273"/>
      <c r="U273"/>
      <c r="V273" s="16"/>
      <c r="W273"/>
      <c r="X273"/>
      <c r="Y273"/>
      <c r="Z273"/>
      <c r="AC273" s="24"/>
      <c r="AD273" s="43"/>
      <c r="AE273" s="43"/>
    </row>
    <row r="274" spans="18:31">
      <c r="R274" s="62"/>
      <c r="S274" s="63"/>
      <c r="T274"/>
      <c r="U274"/>
      <c r="V274" s="16"/>
      <c r="W274"/>
      <c r="X274"/>
      <c r="Y274"/>
      <c r="Z274"/>
      <c r="AC274" s="24"/>
      <c r="AD274" s="43"/>
      <c r="AE274" s="43"/>
    </row>
    <row r="275" spans="18:31">
      <c r="R275" s="62"/>
      <c r="S275" s="63"/>
      <c r="T275"/>
      <c r="U275"/>
      <c r="V275" s="16"/>
      <c r="W275"/>
      <c r="X275"/>
      <c r="Y275"/>
      <c r="Z275"/>
      <c r="AC275" s="24"/>
      <c r="AD275" s="43"/>
      <c r="AE275" s="43"/>
    </row>
    <row r="276" spans="18:31">
      <c r="R276" s="62"/>
      <c r="S276" s="63"/>
      <c r="T276"/>
      <c r="U276"/>
      <c r="V276" s="16"/>
      <c r="W276"/>
      <c r="X276"/>
      <c r="Y276"/>
      <c r="Z276"/>
      <c r="AC276" s="24"/>
      <c r="AD276" s="43"/>
      <c r="AE276" s="43"/>
    </row>
    <row r="277" spans="18:31">
      <c r="R277" s="62"/>
      <c r="S277" s="63"/>
      <c r="T277"/>
      <c r="U277"/>
      <c r="V277" s="16"/>
      <c r="W277"/>
      <c r="X277"/>
      <c r="Y277"/>
      <c r="Z277"/>
      <c r="AC277" s="24"/>
      <c r="AD277" s="43"/>
      <c r="AE277" s="43"/>
    </row>
    <row r="278" spans="18:31">
      <c r="R278" s="62"/>
      <c r="S278" s="63"/>
      <c r="T278"/>
      <c r="U278"/>
      <c r="V278" s="16"/>
      <c r="W278"/>
      <c r="X278"/>
      <c r="Y278"/>
      <c r="Z278"/>
      <c r="AC278" s="24"/>
      <c r="AD278" s="43"/>
      <c r="AE278" s="43"/>
    </row>
    <row r="279" spans="18:31">
      <c r="R279" s="62"/>
      <c r="S279" s="63"/>
      <c r="T279"/>
      <c r="U279"/>
      <c r="V279" s="16"/>
      <c r="W279"/>
      <c r="X279"/>
      <c r="Y279"/>
      <c r="Z279"/>
    </row>
    <row r="280" spans="18:31">
      <c r="R280" s="62"/>
      <c r="S280" s="63"/>
      <c r="T280"/>
      <c r="U280"/>
      <c r="V280" s="16"/>
      <c r="W280"/>
      <c r="X280"/>
      <c r="Y280"/>
      <c r="Z280"/>
    </row>
    <row r="281" spans="18:31">
      <c r="R281" s="62"/>
      <c r="S281" s="63"/>
      <c r="T281"/>
      <c r="U281"/>
      <c r="V281" s="16"/>
      <c r="W281"/>
      <c r="X281"/>
      <c r="Y281"/>
      <c r="Z281"/>
    </row>
    <row r="282" spans="18:31">
      <c r="R282" s="62"/>
      <c r="S282" s="63"/>
      <c r="T282"/>
      <c r="U282"/>
      <c r="V282" s="16"/>
      <c r="W282"/>
      <c r="X282"/>
      <c r="Y282"/>
      <c r="Z282"/>
    </row>
    <row r="283" spans="18:31">
      <c r="R283" s="62"/>
      <c r="S283" s="63"/>
      <c r="T283"/>
      <c r="U283"/>
      <c r="V283" s="16"/>
      <c r="W283"/>
      <c r="X283"/>
      <c r="Y283"/>
      <c r="Z283"/>
    </row>
    <row r="284" spans="18:31">
      <c r="R284" s="62"/>
      <c r="S284" s="63"/>
      <c r="T284"/>
      <c r="U284"/>
      <c r="V284" s="16"/>
      <c r="W284"/>
      <c r="X284"/>
      <c r="Y284"/>
      <c r="Z284"/>
    </row>
    <row r="285" spans="18:31">
      <c r="R285" s="62"/>
      <c r="S285" s="63"/>
      <c r="T285"/>
      <c r="U285"/>
      <c r="V285" s="16"/>
      <c r="W285"/>
      <c r="X285"/>
      <c r="Y285"/>
      <c r="Z285"/>
    </row>
    <row r="286" spans="18:31">
      <c r="R286" s="62"/>
      <c r="S286" s="63"/>
      <c r="T286"/>
      <c r="U286"/>
      <c r="V286" s="16"/>
      <c r="W286"/>
      <c r="X286"/>
      <c r="Y286"/>
      <c r="Z286"/>
    </row>
    <row r="287" spans="18:31">
      <c r="R287" s="62"/>
      <c r="S287" s="63"/>
      <c r="T287"/>
      <c r="U287"/>
      <c r="V287" s="16"/>
      <c r="W287"/>
      <c r="X287"/>
      <c r="Y287"/>
      <c r="Z287"/>
    </row>
    <row r="288" spans="18:31">
      <c r="R288" s="62"/>
      <c r="S288" s="63"/>
      <c r="T288"/>
      <c r="U288"/>
      <c r="V288" s="16"/>
      <c r="W288"/>
      <c r="X288"/>
      <c r="Y288"/>
      <c r="Z288"/>
    </row>
    <row r="289" spans="18:26">
      <c r="R289" s="62"/>
      <c r="S289" s="63"/>
      <c r="T289"/>
      <c r="U289"/>
      <c r="V289" s="16"/>
      <c r="W289"/>
      <c r="X289"/>
      <c r="Y289"/>
      <c r="Z289"/>
    </row>
    <row r="290" spans="18:26">
      <c r="R290" s="62"/>
      <c r="S290" s="63"/>
      <c r="T290"/>
      <c r="U290"/>
      <c r="V290" s="16"/>
      <c r="W290"/>
      <c r="X290"/>
      <c r="Y290"/>
      <c r="Z290"/>
    </row>
    <row r="291" spans="18:26">
      <c r="R291" s="62"/>
      <c r="S291" s="63"/>
      <c r="T291"/>
      <c r="U291"/>
      <c r="V291" s="16"/>
      <c r="W291"/>
      <c r="X291"/>
      <c r="Y291"/>
      <c r="Z291"/>
    </row>
    <row r="292" spans="18:26">
      <c r="R292" s="62"/>
      <c r="S292" s="63"/>
      <c r="T292"/>
      <c r="U292"/>
      <c r="V292" s="16"/>
      <c r="W292"/>
      <c r="X292"/>
      <c r="Y292"/>
      <c r="Z292"/>
    </row>
    <row r="293" spans="18:26">
      <c r="R293" s="62"/>
      <c r="S293" s="63"/>
      <c r="T293"/>
      <c r="U293"/>
      <c r="V293" s="16"/>
      <c r="W293"/>
      <c r="X293"/>
      <c r="Y293"/>
      <c r="Z293"/>
    </row>
    <row r="294" spans="18:26">
      <c r="R294" s="62"/>
      <c r="S294" s="63"/>
      <c r="T294"/>
      <c r="U294"/>
      <c r="V294" s="16"/>
      <c r="W294"/>
      <c r="X294"/>
      <c r="Y294"/>
      <c r="Z294"/>
    </row>
    <row r="295" spans="18:26">
      <c r="R295" s="62"/>
      <c r="S295" s="63"/>
      <c r="T295"/>
      <c r="U295"/>
      <c r="V295" s="16"/>
      <c r="W295"/>
      <c r="X295"/>
      <c r="Y295"/>
      <c r="Z295"/>
    </row>
    <row r="296" spans="18:26">
      <c r="R296" s="62"/>
      <c r="S296" s="63"/>
      <c r="T296"/>
      <c r="U296"/>
      <c r="V296" s="16"/>
      <c r="W296"/>
      <c r="X296"/>
      <c r="Y296"/>
      <c r="Z296"/>
    </row>
    <row r="297" spans="18:26">
      <c r="R297" s="62"/>
      <c r="S297" s="63"/>
      <c r="T297"/>
      <c r="U297"/>
      <c r="V297" s="16"/>
      <c r="W297"/>
      <c r="X297"/>
      <c r="Y297"/>
      <c r="Z297"/>
    </row>
    <row r="298" spans="18:26">
      <c r="R298" s="62"/>
      <c r="S298" s="63"/>
      <c r="T298"/>
      <c r="U298"/>
      <c r="V298" s="16"/>
      <c r="W298"/>
      <c r="X298"/>
      <c r="Y298"/>
      <c r="Z298"/>
    </row>
    <row r="299" spans="18:26">
      <c r="R299" s="62"/>
      <c r="S299" s="63"/>
      <c r="T299"/>
      <c r="U299"/>
      <c r="V299" s="16"/>
      <c r="W299"/>
      <c r="X299"/>
      <c r="Y299"/>
      <c r="Z299"/>
    </row>
    <row r="300" spans="18:26">
      <c r="R300" s="62"/>
      <c r="S300" s="63"/>
      <c r="T300"/>
      <c r="U300"/>
      <c r="V300" s="16"/>
      <c r="W300"/>
      <c r="X300"/>
      <c r="Y300"/>
      <c r="Z300"/>
    </row>
    <row r="301" spans="18:26">
      <c r="R301" s="62"/>
      <c r="S301" s="63"/>
      <c r="T301"/>
      <c r="U301"/>
      <c r="V301" s="16"/>
      <c r="W301"/>
      <c r="X301"/>
      <c r="Y301"/>
      <c r="Z301"/>
    </row>
    <row r="302" spans="18:26">
      <c r="R302" s="62"/>
      <c r="S302" s="63"/>
      <c r="T302"/>
      <c r="U302"/>
      <c r="V302" s="16"/>
      <c r="W302"/>
      <c r="X302"/>
      <c r="Y302"/>
      <c r="Z302"/>
    </row>
    <row r="303" spans="18:26">
      <c r="R303" s="62"/>
      <c r="S303" s="63"/>
      <c r="T303"/>
      <c r="U303"/>
      <c r="V303" s="16"/>
      <c r="W303"/>
      <c r="X303"/>
      <c r="Y303"/>
      <c r="Z303"/>
    </row>
    <row r="304" spans="18:26">
      <c r="R304" s="62"/>
      <c r="S304" s="63"/>
      <c r="T304"/>
      <c r="U304"/>
      <c r="V304" s="16"/>
      <c r="W304"/>
      <c r="X304"/>
      <c r="Y304"/>
      <c r="Z304"/>
    </row>
    <row r="305" spans="18:26">
      <c r="R305" s="62"/>
      <c r="S305" s="63"/>
      <c r="T305"/>
      <c r="U305"/>
      <c r="V305" s="16"/>
      <c r="W305"/>
      <c r="X305"/>
      <c r="Y305"/>
      <c r="Z305"/>
    </row>
    <row r="306" spans="18:26">
      <c r="R306" s="62"/>
      <c r="S306" s="63"/>
      <c r="T306"/>
      <c r="U306"/>
      <c r="V306" s="16"/>
      <c r="W306"/>
      <c r="X306"/>
      <c r="Y306"/>
      <c r="Z306"/>
    </row>
    <row r="307" spans="18:26">
      <c r="R307" s="62"/>
      <c r="S307" s="63"/>
      <c r="T307"/>
      <c r="U307"/>
      <c r="V307" s="16"/>
      <c r="W307"/>
      <c r="X307"/>
      <c r="Y307"/>
      <c r="Z307"/>
    </row>
    <row r="308" spans="18:26">
      <c r="R308" s="62"/>
      <c r="S308" s="63"/>
      <c r="T308"/>
      <c r="U308"/>
      <c r="V308" s="16"/>
      <c r="W308"/>
      <c r="X308"/>
      <c r="Y308"/>
      <c r="Z308"/>
    </row>
    <row r="309" spans="18:26">
      <c r="R309" s="62"/>
      <c r="S309" s="63"/>
      <c r="T309"/>
      <c r="U309"/>
      <c r="V309" s="16"/>
      <c r="W309"/>
      <c r="X309"/>
      <c r="Y309"/>
      <c r="Z309"/>
    </row>
    <row r="310" spans="18:26">
      <c r="R310" s="62"/>
      <c r="S310" s="63"/>
      <c r="T310"/>
      <c r="U310"/>
      <c r="V310" s="16"/>
      <c r="W310"/>
      <c r="X310"/>
      <c r="Y310"/>
      <c r="Z310"/>
    </row>
    <row r="311" spans="18:26">
      <c r="R311" s="62"/>
      <c r="S311" s="63"/>
      <c r="T311"/>
      <c r="U311"/>
      <c r="V311" s="16"/>
      <c r="W311"/>
      <c r="X311"/>
      <c r="Y311"/>
      <c r="Z311"/>
    </row>
    <row r="312" spans="18:26">
      <c r="R312" s="62"/>
      <c r="S312" s="63"/>
      <c r="T312"/>
      <c r="U312"/>
      <c r="V312" s="16"/>
      <c r="W312"/>
      <c r="X312"/>
      <c r="Y312"/>
      <c r="Z312"/>
    </row>
    <row r="313" spans="18:26">
      <c r="R313" s="62"/>
      <c r="S313" s="63"/>
      <c r="T313"/>
      <c r="U313"/>
      <c r="V313" s="16"/>
      <c r="W313"/>
      <c r="X313"/>
      <c r="Y313"/>
      <c r="Z313"/>
    </row>
    <row r="314" spans="18:26">
      <c r="R314" s="62"/>
      <c r="S314" s="63"/>
      <c r="T314"/>
      <c r="U314"/>
      <c r="V314" s="16"/>
      <c r="W314"/>
      <c r="X314"/>
      <c r="Y314"/>
      <c r="Z314"/>
    </row>
    <row r="315" spans="18:26">
      <c r="R315" s="62"/>
      <c r="S315" s="63"/>
      <c r="T315"/>
      <c r="U315"/>
      <c r="V315" s="16"/>
      <c r="W315"/>
      <c r="X315"/>
      <c r="Y315"/>
      <c r="Z315"/>
    </row>
    <row r="316" spans="18:26">
      <c r="R316" s="62"/>
      <c r="S316" s="63"/>
      <c r="T316"/>
      <c r="U316"/>
      <c r="V316" s="16"/>
      <c r="W316"/>
      <c r="X316"/>
      <c r="Y316"/>
      <c r="Z316"/>
    </row>
    <row r="317" spans="18:26">
      <c r="R317" s="62"/>
      <c r="S317" s="63"/>
      <c r="T317"/>
      <c r="U317"/>
      <c r="V317" s="16"/>
      <c r="W317"/>
      <c r="X317"/>
      <c r="Y317"/>
      <c r="Z317"/>
    </row>
    <row r="318" spans="18:26">
      <c r="R318" s="62"/>
      <c r="S318" s="63"/>
      <c r="T318"/>
      <c r="U318"/>
      <c r="V318" s="16"/>
      <c r="W318"/>
      <c r="X318"/>
      <c r="Y318"/>
      <c r="Z318"/>
    </row>
    <row r="319" spans="18:26">
      <c r="R319" s="62"/>
      <c r="S319" s="63"/>
      <c r="T319"/>
      <c r="U319"/>
      <c r="V319" s="16"/>
      <c r="W319"/>
      <c r="X319"/>
      <c r="Y319"/>
      <c r="Z319"/>
    </row>
    <row r="320" spans="18:26">
      <c r="R320" s="62"/>
      <c r="S320" s="63"/>
      <c r="T320"/>
      <c r="U320"/>
      <c r="V320" s="16"/>
      <c r="W320"/>
      <c r="X320"/>
      <c r="Y320"/>
      <c r="Z320"/>
    </row>
    <row r="321" spans="18:26">
      <c r="R321" s="62"/>
      <c r="S321" s="63"/>
      <c r="T321"/>
      <c r="U321"/>
      <c r="V321" s="16"/>
      <c r="W321"/>
      <c r="X321"/>
      <c r="Y321"/>
      <c r="Z321"/>
    </row>
    <row r="322" spans="18:26">
      <c r="R322" s="62"/>
      <c r="S322" s="63"/>
      <c r="T322"/>
      <c r="U322"/>
      <c r="V322" s="16"/>
      <c r="W322"/>
      <c r="X322"/>
      <c r="Y322"/>
      <c r="Z322"/>
    </row>
    <row r="323" spans="18:26">
      <c r="R323" s="62"/>
      <c r="S323" s="63"/>
      <c r="T323"/>
      <c r="U323"/>
      <c r="V323" s="16"/>
      <c r="W323"/>
      <c r="X323"/>
      <c r="Y323"/>
      <c r="Z323"/>
    </row>
    <row r="324" spans="18:26">
      <c r="R324" s="62"/>
      <c r="S324" s="63"/>
      <c r="T324"/>
      <c r="U324"/>
      <c r="V324" s="16"/>
      <c r="W324"/>
      <c r="X324"/>
      <c r="Y324"/>
      <c r="Z324"/>
    </row>
    <row r="325" spans="18:26">
      <c r="R325" s="62"/>
      <c r="S325" s="63"/>
      <c r="T325"/>
      <c r="U325"/>
      <c r="V325" s="16"/>
      <c r="W325"/>
      <c r="X325"/>
      <c r="Y325"/>
      <c r="Z325"/>
    </row>
    <row r="326" spans="18:26">
      <c r="R326" s="62"/>
      <c r="S326" s="63"/>
      <c r="T326"/>
      <c r="U326"/>
      <c r="V326" s="16"/>
      <c r="W326"/>
      <c r="X326"/>
      <c r="Y326"/>
      <c r="Z326"/>
    </row>
    <row r="327" spans="18:26">
      <c r="R327" s="62"/>
      <c r="S327" s="63"/>
      <c r="T327"/>
      <c r="U327"/>
      <c r="V327" s="16"/>
      <c r="W327"/>
      <c r="X327"/>
      <c r="Y327"/>
      <c r="Z327"/>
    </row>
    <row r="328" spans="18:26">
      <c r="R328" s="62"/>
      <c r="S328" s="63"/>
      <c r="T328"/>
      <c r="U328"/>
      <c r="V328" s="16"/>
      <c r="W328"/>
      <c r="X328"/>
      <c r="Y328"/>
      <c r="Z328"/>
    </row>
    <row r="329" spans="18:26">
      <c r="R329" s="62"/>
      <c r="S329" s="63"/>
      <c r="T329"/>
      <c r="U329"/>
      <c r="V329" s="16"/>
      <c r="W329"/>
      <c r="X329"/>
      <c r="Y329"/>
      <c r="Z329"/>
    </row>
    <row r="330" spans="18:26">
      <c r="R330" s="62"/>
      <c r="S330" s="63"/>
      <c r="T330"/>
      <c r="U330"/>
      <c r="V330" s="16"/>
      <c r="W330"/>
      <c r="X330"/>
      <c r="Y330"/>
      <c r="Z330"/>
    </row>
    <row r="331" spans="18:26">
      <c r="R331" s="62"/>
      <c r="S331" s="63"/>
      <c r="T331"/>
      <c r="U331"/>
      <c r="V331" s="16"/>
      <c r="W331"/>
      <c r="X331"/>
      <c r="Y331"/>
      <c r="Z331"/>
    </row>
    <row r="332" spans="18:26">
      <c r="R332" s="62"/>
      <c r="S332" s="63"/>
      <c r="T332"/>
      <c r="U332"/>
      <c r="V332" s="16"/>
      <c r="W332"/>
      <c r="X332"/>
      <c r="Y332"/>
      <c r="Z332"/>
    </row>
    <row r="333" spans="18:26">
      <c r="R333" s="62"/>
      <c r="S333" s="63"/>
      <c r="T333"/>
      <c r="U333"/>
      <c r="V333" s="16"/>
      <c r="W333"/>
      <c r="X333"/>
      <c r="Y333"/>
      <c r="Z333"/>
    </row>
    <row r="334" spans="18:26">
      <c r="R334" s="62"/>
      <c r="S334" s="63"/>
      <c r="T334"/>
      <c r="U334"/>
      <c r="V334" s="16"/>
      <c r="W334"/>
      <c r="X334"/>
      <c r="Y334"/>
      <c r="Z334"/>
    </row>
    <row r="335" spans="18:26">
      <c r="R335" s="62"/>
      <c r="S335" s="63"/>
      <c r="T335"/>
      <c r="U335"/>
      <c r="V335" s="16"/>
      <c r="W335"/>
      <c r="X335"/>
      <c r="Y335"/>
      <c r="Z335"/>
    </row>
    <row r="336" spans="18:26">
      <c r="R336" s="62"/>
      <c r="S336" s="63"/>
      <c r="T336"/>
      <c r="U336"/>
      <c r="V336" s="16"/>
      <c r="W336"/>
      <c r="X336"/>
      <c r="Y336"/>
      <c r="Z336"/>
    </row>
    <row r="337" spans="18:26">
      <c r="R337" s="62"/>
      <c r="S337" s="63"/>
      <c r="T337"/>
      <c r="U337"/>
      <c r="V337" s="16"/>
      <c r="W337"/>
      <c r="X337"/>
      <c r="Y337"/>
      <c r="Z337"/>
    </row>
    <row r="338" spans="18:26">
      <c r="R338" s="62"/>
      <c r="S338" s="63"/>
      <c r="T338"/>
      <c r="U338"/>
      <c r="V338" s="16"/>
      <c r="W338"/>
      <c r="X338"/>
      <c r="Y338"/>
      <c r="Z338"/>
    </row>
    <row r="339" spans="18:26">
      <c r="R339" s="62"/>
      <c r="S339" s="63"/>
      <c r="T339"/>
      <c r="U339"/>
      <c r="V339" s="16"/>
      <c r="W339"/>
      <c r="X339"/>
      <c r="Y339"/>
      <c r="Z339"/>
    </row>
    <row r="340" spans="18:26">
      <c r="R340" s="62"/>
      <c r="S340" s="63"/>
      <c r="T340"/>
      <c r="U340"/>
      <c r="V340" s="16"/>
      <c r="W340"/>
      <c r="X340"/>
      <c r="Y340"/>
      <c r="Z340"/>
    </row>
    <row r="341" spans="18:26">
      <c r="R341" s="62"/>
      <c r="S341" s="63"/>
      <c r="T341"/>
      <c r="U341"/>
      <c r="V341" s="16"/>
      <c r="W341"/>
      <c r="X341"/>
      <c r="Y341"/>
      <c r="Z341"/>
    </row>
    <row r="342" spans="18:26">
      <c r="R342" s="62"/>
      <c r="S342" s="63"/>
      <c r="T342"/>
      <c r="U342"/>
      <c r="V342" s="16"/>
      <c r="W342"/>
      <c r="X342"/>
      <c r="Y342"/>
      <c r="Z342"/>
    </row>
    <row r="343" spans="18:26">
      <c r="R343" s="62"/>
      <c r="S343" s="63"/>
      <c r="T343"/>
      <c r="U343"/>
      <c r="V343" s="16"/>
      <c r="W343"/>
      <c r="X343"/>
      <c r="Y343"/>
      <c r="Z343"/>
    </row>
    <row r="344" spans="18:26">
      <c r="R344" s="62"/>
      <c r="S344" s="63"/>
      <c r="T344"/>
      <c r="U344"/>
      <c r="V344" s="16"/>
      <c r="W344"/>
      <c r="X344"/>
      <c r="Y344"/>
      <c r="Z344"/>
    </row>
    <row r="345" spans="18:26">
      <c r="R345" s="62"/>
      <c r="S345" s="63"/>
      <c r="T345"/>
      <c r="U345"/>
      <c r="V345" s="16"/>
      <c r="W345"/>
      <c r="X345"/>
      <c r="Y345"/>
      <c r="Z345"/>
    </row>
    <row r="346" spans="18:26">
      <c r="R346" s="62"/>
      <c r="S346" s="63"/>
      <c r="T346"/>
      <c r="U346"/>
      <c r="V346" s="16"/>
      <c r="W346"/>
      <c r="X346"/>
      <c r="Y346"/>
      <c r="Z346"/>
    </row>
    <row r="347" spans="18:26">
      <c r="R347" s="62"/>
      <c r="S347" s="63"/>
      <c r="T347"/>
      <c r="U347"/>
      <c r="V347" s="16"/>
      <c r="W347"/>
      <c r="X347"/>
      <c r="Y347"/>
      <c r="Z347"/>
    </row>
    <row r="348" spans="18:26">
      <c r="R348" s="62"/>
      <c r="S348" s="63"/>
      <c r="T348"/>
      <c r="U348"/>
      <c r="V348" s="16"/>
      <c r="W348"/>
      <c r="X348"/>
      <c r="Y348"/>
      <c r="Z348"/>
    </row>
    <row r="349" spans="18:26">
      <c r="R349" s="62"/>
      <c r="S349" s="63"/>
      <c r="T349"/>
      <c r="U349"/>
      <c r="V349" s="16"/>
      <c r="W349"/>
      <c r="X349"/>
      <c r="Y349"/>
      <c r="Z349"/>
    </row>
    <row r="350" spans="18:26">
      <c r="R350" s="62"/>
      <c r="S350" s="63"/>
      <c r="T350"/>
      <c r="U350"/>
      <c r="V350" s="16"/>
      <c r="W350"/>
      <c r="X350"/>
      <c r="Y350"/>
      <c r="Z350"/>
    </row>
    <row r="351" spans="18:26">
      <c r="R351" s="62"/>
      <c r="S351" s="63"/>
      <c r="T351"/>
      <c r="U351"/>
      <c r="V351" s="16"/>
      <c r="W351"/>
      <c r="X351"/>
      <c r="Y351"/>
      <c r="Z351"/>
    </row>
    <row r="352" spans="18:26">
      <c r="R352" s="62"/>
      <c r="S352" s="63"/>
      <c r="T352"/>
      <c r="U352"/>
      <c r="V352" s="16"/>
      <c r="W352"/>
      <c r="X352"/>
      <c r="Y352"/>
      <c r="Z352"/>
    </row>
    <row r="353" spans="18:26">
      <c r="R353" s="62"/>
      <c r="S353" s="63"/>
      <c r="T353"/>
      <c r="U353"/>
      <c r="V353" s="16"/>
      <c r="W353"/>
      <c r="X353"/>
      <c r="Y353"/>
      <c r="Z353"/>
    </row>
    <row r="354" spans="18:26">
      <c r="R354" s="62"/>
      <c r="S354" s="63"/>
      <c r="T354"/>
      <c r="U354"/>
      <c r="V354" s="16"/>
      <c r="W354"/>
      <c r="X354"/>
      <c r="Y354"/>
      <c r="Z354"/>
    </row>
    <row r="355" spans="18:26">
      <c r="R355" s="62"/>
      <c r="S355" s="63"/>
      <c r="T355"/>
      <c r="U355"/>
      <c r="V355" s="16"/>
      <c r="W355"/>
      <c r="X355"/>
      <c r="Y355"/>
      <c r="Z355"/>
    </row>
    <row r="356" spans="18:26">
      <c r="R356" s="62"/>
      <c r="S356" s="63"/>
      <c r="T356"/>
      <c r="U356"/>
      <c r="V356" s="16"/>
      <c r="W356"/>
      <c r="X356"/>
      <c r="Y356"/>
      <c r="Z356"/>
    </row>
    <row r="357" spans="18:26">
      <c r="R357" s="62"/>
      <c r="S357" s="63"/>
      <c r="T357"/>
      <c r="U357"/>
      <c r="V357" s="16"/>
      <c r="W357"/>
      <c r="X357"/>
      <c r="Y357"/>
      <c r="Z357"/>
    </row>
    <row r="358" spans="18:26">
      <c r="R358" s="62"/>
      <c r="S358" s="63"/>
      <c r="T358"/>
      <c r="U358"/>
      <c r="V358" s="16"/>
      <c r="W358"/>
      <c r="X358"/>
      <c r="Y358"/>
      <c r="Z358"/>
    </row>
    <row r="359" spans="18:26">
      <c r="R359" s="62"/>
      <c r="S359" s="63"/>
      <c r="T359"/>
      <c r="U359"/>
      <c r="V359" s="16"/>
      <c r="W359"/>
      <c r="X359"/>
      <c r="Y359"/>
      <c r="Z359"/>
    </row>
    <row r="360" spans="18:26">
      <c r="R360" s="62"/>
      <c r="S360" s="63"/>
      <c r="T360"/>
      <c r="U360"/>
      <c r="V360" s="16"/>
      <c r="W360"/>
      <c r="X360"/>
      <c r="Y360"/>
      <c r="Z360"/>
    </row>
    <row r="361" spans="18:26">
      <c r="R361" s="62"/>
      <c r="S361" s="63"/>
      <c r="T361"/>
      <c r="U361"/>
      <c r="V361" s="16"/>
      <c r="W361"/>
      <c r="X361"/>
      <c r="Y361"/>
      <c r="Z361"/>
    </row>
    <row r="362" spans="18:26">
      <c r="R362" s="62"/>
      <c r="S362" s="63"/>
      <c r="T362"/>
      <c r="U362"/>
      <c r="V362" s="16"/>
      <c r="W362"/>
      <c r="X362"/>
      <c r="Y362"/>
      <c r="Z362"/>
    </row>
    <row r="363" spans="18:26">
      <c r="R363" s="62"/>
      <c r="S363" s="63"/>
      <c r="T363"/>
      <c r="U363"/>
      <c r="V363" s="16"/>
      <c r="W363"/>
      <c r="X363"/>
      <c r="Y363"/>
      <c r="Z363"/>
    </row>
    <row r="364" spans="18:26">
      <c r="R364" s="62"/>
      <c r="S364" s="63"/>
      <c r="T364"/>
      <c r="U364"/>
      <c r="V364" s="16"/>
      <c r="W364"/>
      <c r="X364"/>
      <c r="Y364"/>
      <c r="Z364"/>
    </row>
    <row r="365" spans="18:26">
      <c r="R365" s="62"/>
      <c r="S365" s="63"/>
      <c r="T365"/>
      <c r="U365"/>
      <c r="V365" s="16"/>
      <c r="W365"/>
      <c r="X365"/>
      <c r="Y365"/>
      <c r="Z365"/>
    </row>
    <row r="366" spans="18:26">
      <c r="R366" s="62"/>
      <c r="S366" s="63"/>
      <c r="T366"/>
      <c r="U366"/>
      <c r="V366" s="16"/>
      <c r="W366"/>
      <c r="X366"/>
      <c r="Y366"/>
      <c r="Z366"/>
    </row>
    <row r="367" spans="18:26">
      <c r="R367" s="62"/>
      <c r="S367" s="63"/>
      <c r="T367"/>
      <c r="U367"/>
      <c r="V367" s="16"/>
      <c r="W367"/>
      <c r="X367"/>
      <c r="Y367"/>
      <c r="Z367"/>
    </row>
    <row r="368" spans="18:26">
      <c r="R368" s="62"/>
      <c r="S368" s="63"/>
      <c r="T368"/>
      <c r="U368"/>
      <c r="V368" s="16"/>
      <c r="W368"/>
      <c r="X368"/>
      <c r="Y368"/>
      <c r="Z368"/>
    </row>
    <row r="369" spans="18:26">
      <c r="R369" s="62"/>
      <c r="S369" s="63"/>
      <c r="T369"/>
      <c r="U369"/>
      <c r="V369" s="16"/>
      <c r="W369"/>
      <c r="X369"/>
      <c r="Y369"/>
      <c r="Z369"/>
    </row>
    <row r="370" spans="18:26">
      <c r="R370" s="62"/>
      <c r="S370" s="63"/>
      <c r="T370"/>
      <c r="U370"/>
      <c r="V370" s="16"/>
      <c r="W370"/>
      <c r="X370"/>
      <c r="Y370"/>
      <c r="Z370"/>
    </row>
    <row r="371" spans="18:26">
      <c r="R371" s="62"/>
      <c r="S371" s="63"/>
      <c r="T371"/>
      <c r="U371"/>
      <c r="V371" s="16"/>
      <c r="W371"/>
      <c r="X371"/>
      <c r="Y371"/>
      <c r="Z371"/>
    </row>
    <row r="372" spans="18:26">
      <c r="R372" s="62"/>
      <c r="S372" s="63"/>
      <c r="T372"/>
      <c r="U372"/>
      <c r="V372" s="16"/>
      <c r="W372"/>
      <c r="X372"/>
      <c r="Y372"/>
      <c r="Z372"/>
    </row>
    <row r="373" spans="18:26">
      <c r="R373" s="62"/>
      <c r="S373" s="63"/>
      <c r="T373"/>
      <c r="U373"/>
      <c r="V373" s="16"/>
      <c r="W373"/>
      <c r="X373"/>
      <c r="Y373"/>
      <c r="Z373"/>
    </row>
    <row r="374" spans="18:26">
      <c r="R374" s="62"/>
      <c r="S374" s="63"/>
      <c r="T374"/>
      <c r="U374"/>
      <c r="V374" s="16"/>
      <c r="W374"/>
      <c r="X374"/>
      <c r="Y374"/>
      <c r="Z374"/>
    </row>
    <row r="375" spans="18:26">
      <c r="R375" s="62"/>
      <c r="S375" s="63"/>
      <c r="T375"/>
      <c r="U375"/>
      <c r="V375" s="16"/>
      <c r="W375"/>
      <c r="X375"/>
      <c r="Y375"/>
      <c r="Z375"/>
    </row>
    <row r="376" spans="18:26">
      <c r="R376" s="62"/>
      <c r="S376" s="63"/>
      <c r="T376"/>
      <c r="U376"/>
      <c r="V376" s="16"/>
      <c r="W376"/>
      <c r="X376"/>
      <c r="Y376"/>
      <c r="Z376"/>
    </row>
    <row r="377" spans="18:26">
      <c r="R377" s="62"/>
      <c r="S377" s="63"/>
      <c r="T377"/>
      <c r="U377"/>
      <c r="V377" s="16"/>
      <c r="W377"/>
      <c r="X377"/>
      <c r="Y377"/>
      <c r="Z377"/>
    </row>
    <row r="378" spans="18:26">
      <c r="R378" s="62"/>
      <c r="S378" s="63"/>
      <c r="T378"/>
      <c r="U378"/>
      <c r="V378" s="16"/>
      <c r="W378"/>
      <c r="X378"/>
      <c r="Y378"/>
      <c r="Z378"/>
    </row>
    <row r="379" spans="18:26">
      <c r="R379" s="62"/>
      <c r="S379" s="63"/>
      <c r="T379"/>
      <c r="U379"/>
      <c r="V379" s="16"/>
      <c r="W379"/>
      <c r="X379"/>
      <c r="Y379"/>
      <c r="Z379"/>
    </row>
    <row r="380" spans="18:26">
      <c r="R380" s="62"/>
      <c r="S380" s="63"/>
      <c r="T380"/>
      <c r="U380"/>
      <c r="V380" s="16"/>
      <c r="W380"/>
      <c r="X380"/>
      <c r="Y380"/>
      <c r="Z380"/>
    </row>
    <row r="381" spans="18:26">
      <c r="R381" s="62"/>
      <c r="S381" s="63"/>
      <c r="T381"/>
      <c r="U381"/>
      <c r="V381" s="16"/>
      <c r="W381"/>
      <c r="X381"/>
      <c r="Y381"/>
      <c r="Z381"/>
    </row>
    <row r="382" spans="18:26">
      <c r="R382" s="62"/>
      <c r="S382" s="63"/>
      <c r="T382"/>
      <c r="U382"/>
      <c r="V382" s="16"/>
      <c r="W382"/>
      <c r="X382"/>
      <c r="Y382"/>
      <c r="Z382"/>
    </row>
    <row r="383" spans="18:26">
      <c r="R383" s="62"/>
      <c r="S383" s="63"/>
      <c r="T383"/>
      <c r="U383"/>
      <c r="V383" s="16"/>
      <c r="W383"/>
      <c r="X383"/>
      <c r="Y383"/>
      <c r="Z383"/>
    </row>
    <row r="384" spans="18:26">
      <c r="R384" s="62"/>
      <c r="S384" s="63"/>
      <c r="T384"/>
      <c r="U384"/>
      <c r="V384" s="16"/>
      <c r="W384"/>
      <c r="X384"/>
      <c r="Y384"/>
      <c r="Z384"/>
    </row>
    <row r="385" spans="18:26">
      <c r="R385" s="62"/>
      <c r="S385" s="63"/>
      <c r="T385"/>
      <c r="U385"/>
      <c r="V385" s="16"/>
      <c r="W385"/>
      <c r="X385"/>
      <c r="Y385"/>
      <c r="Z385"/>
    </row>
    <row r="386" spans="18:26">
      <c r="R386" s="62"/>
      <c r="S386" s="63"/>
      <c r="T386"/>
      <c r="U386"/>
      <c r="V386" s="16"/>
      <c r="W386"/>
      <c r="X386"/>
      <c r="Y386"/>
      <c r="Z386"/>
    </row>
    <row r="387" spans="18:26">
      <c r="R387" s="62"/>
      <c r="S387" s="63"/>
      <c r="T387"/>
      <c r="U387"/>
      <c r="V387" s="16"/>
      <c r="W387"/>
      <c r="X387"/>
      <c r="Y387"/>
      <c r="Z387"/>
    </row>
    <row r="388" spans="18:26">
      <c r="R388" s="62"/>
      <c r="S388" s="63"/>
      <c r="T388"/>
      <c r="U388"/>
      <c r="V388" s="16"/>
      <c r="W388"/>
      <c r="X388"/>
      <c r="Y388"/>
      <c r="Z388"/>
    </row>
    <row r="389" spans="18:26">
      <c r="R389" s="62"/>
      <c r="S389" s="63"/>
      <c r="T389"/>
      <c r="U389"/>
      <c r="V389" s="16"/>
      <c r="W389"/>
      <c r="X389"/>
      <c r="Y389"/>
      <c r="Z389"/>
    </row>
    <row r="390" spans="18:26">
      <c r="R390" s="62"/>
      <c r="S390" s="63"/>
      <c r="T390"/>
      <c r="U390"/>
      <c r="V390" s="16"/>
      <c r="W390"/>
      <c r="X390"/>
      <c r="Y390"/>
      <c r="Z390"/>
    </row>
    <row r="391" spans="18:26">
      <c r="R391" s="62"/>
      <c r="S391" s="63"/>
      <c r="T391"/>
      <c r="U391"/>
      <c r="V391" s="16"/>
      <c r="W391"/>
      <c r="X391"/>
      <c r="Y391"/>
      <c r="Z391"/>
    </row>
    <row r="392" spans="18:26">
      <c r="R392" s="62"/>
      <c r="S392" s="63"/>
      <c r="T392"/>
      <c r="U392"/>
      <c r="V392" s="16"/>
      <c r="W392"/>
      <c r="X392"/>
      <c r="Y392"/>
      <c r="Z392"/>
    </row>
    <row r="393" spans="18:26">
      <c r="R393" s="62"/>
      <c r="S393" s="63"/>
      <c r="T393"/>
      <c r="U393"/>
      <c r="V393" s="16"/>
      <c r="W393"/>
      <c r="X393"/>
      <c r="Y393"/>
      <c r="Z393"/>
    </row>
    <row r="394" spans="18:26">
      <c r="R394" s="62"/>
      <c r="S394" s="63"/>
      <c r="T394"/>
      <c r="U394"/>
      <c r="V394" s="16"/>
      <c r="W394"/>
      <c r="X394"/>
      <c r="Y394"/>
      <c r="Z394"/>
    </row>
    <row r="395" spans="18:26">
      <c r="R395" s="62"/>
      <c r="S395" s="63"/>
      <c r="T395"/>
      <c r="U395"/>
      <c r="V395" s="16"/>
      <c r="W395"/>
      <c r="X395"/>
      <c r="Y395"/>
      <c r="Z395"/>
    </row>
    <row r="396" spans="18:26">
      <c r="R396" s="62"/>
      <c r="S396" s="63"/>
      <c r="T396"/>
      <c r="U396"/>
      <c r="V396" s="16"/>
      <c r="W396"/>
      <c r="X396"/>
      <c r="Y396"/>
      <c r="Z396"/>
    </row>
    <row r="397" spans="18:26">
      <c r="R397" s="62"/>
      <c r="S397" s="63"/>
      <c r="T397"/>
      <c r="U397"/>
      <c r="V397" s="16"/>
      <c r="W397"/>
      <c r="X397"/>
      <c r="Y397"/>
      <c r="Z397"/>
    </row>
    <row r="398" spans="18:26">
      <c r="R398" s="62"/>
      <c r="S398" s="63"/>
      <c r="T398"/>
      <c r="U398"/>
      <c r="V398" s="16"/>
      <c r="W398"/>
      <c r="X398"/>
      <c r="Y398"/>
      <c r="Z398"/>
    </row>
    <row r="399" spans="18:26">
      <c r="R399" s="62"/>
      <c r="S399" s="63"/>
      <c r="T399"/>
      <c r="U399"/>
      <c r="V399" s="16"/>
      <c r="W399"/>
      <c r="X399"/>
      <c r="Y399"/>
      <c r="Z399"/>
    </row>
    <row r="400" spans="18:26">
      <c r="R400" s="62"/>
      <c r="S400" s="63"/>
      <c r="T400"/>
      <c r="U400"/>
      <c r="V400" s="16"/>
      <c r="W400"/>
      <c r="X400"/>
      <c r="Y400"/>
      <c r="Z400"/>
    </row>
    <row r="401" spans="18:26">
      <c r="R401" s="62"/>
      <c r="S401" s="63"/>
      <c r="T401"/>
      <c r="U401"/>
      <c r="V401" s="16"/>
      <c r="W401"/>
      <c r="X401"/>
      <c r="Y401"/>
      <c r="Z401"/>
    </row>
    <row r="402" spans="18:26">
      <c r="R402" s="62"/>
      <c r="S402" s="63"/>
      <c r="T402"/>
      <c r="U402"/>
      <c r="V402" s="16"/>
      <c r="W402"/>
      <c r="X402"/>
      <c r="Y402"/>
      <c r="Z402"/>
    </row>
    <row r="403" spans="18:26">
      <c r="R403" s="62"/>
      <c r="S403" s="63"/>
      <c r="T403"/>
      <c r="U403"/>
      <c r="V403" s="16"/>
      <c r="W403"/>
      <c r="X403"/>
      <c r="Y403"/>
      <c r="Z403"/>
    </row>
    <row r="404" spans="18:26">
      <c r="R404" s="62"/>
      <c r="S404" s="63"/>
      <c r="T404"/>
      <c r="U404"/>
      <c r="V404" s="16"/>
      <c r="W404"/>
      <c r="X404"/>
      <c r="Y404"/>
      <c r="Z404"/>
    </row>
    <row r="405" spans="18:26">
      <c r="R405" s="62"/>
      <c r="S405" s="63"/>
      <c r="T405"/>
      <c r="U405"/>
      <c r="V405" s="16"/>
      <c r="W405"/>
      <c r="X405"/>
      <c r="Y405"/>
      <c r="Z405"/>
    </row>
    <row r="406" spans="18:26">
      <c r="R406" s="62"/>
      <c r="S406" s="63"/>
      <c r="T406"/>
      <c r="U406"/>
      <c r="V406" s="16"/>
      <c r="W406"/>
      <c r="X406"/>
      <c r="Y406"/>
      <c r="Z406"/>
    </row>
    <row r="407" spans="18:26">
      <c r="R407" s="62"/>
      <c r="S407" s="63"/>
      <c r="T407"/>
      <c r="U407"/>
      <c r="V407" s="16"/>
      <c r="W407"/>
      <c r="X407"/>
      <c r="Y407"/>
      <c r="Z407"/>
    </row>
    <row r="408" spans="18:26">
      <c r="R408" s="62"/>
      <c r="S408" s="63"/>
      <c r="T408"/>
      <c r="U408"/>
      <c r="V408" s="16"/>
      <c r="W408"/>
      <c r="X408"/>
      <c r="Y408"/>
      <c r="Z408"/>
    </row>
    <row r="409" spans="18:26">
      <c r="R409" s="62"/>
      <c r="S409" s="63"/>
      <c r="T409"/>
      <c r="U409"/>
      <c r="V409" s="16"/>
      <c r="W409"/>
      <c r="X409"/>
      <c r="Y409"/>
      <c r="Z409"/>
    </row>
    <row r="410" spans="18:26">
      <c r="R410" s="62"/>
      <c r="S410" s="63"/>
      <c r="T410"/>
      <c r="U410"/>
      <c r="V410" s="16"/>
      <c r="W410"/>
      <c r="X410"/>
      <c r="Y410"/>
      <c r="Z410"/>
    </row>
    <row r="411" spans="18:26">
      <c r="R411" s="62"/>
      <c r="S411" s="63"/>
      <c r="T411"/>
      <c r="U411"/>
      <c r="V411" s="16"/>
      <c r="W411"/>
      <c r="X411"/>
      <c r="Y411"/>
      <c r="Z411"/>
    </row>
    <row r="412" spans="18:26">
      <c r="R412" s="62"/>
      <c r="S412" s="63"/>
      <c r="T412"/>
      <c r="U412"/>
      <c r="V412" s="16"/>
      <c r="W412"/>
      <c r="X412"/>
      <c r="Y412"/>
      <c r="Z412"/>
    </row>
    <row r="413" spans="18:26">
      <c r="R413" s="62"/>
      <c r="S413" s="63"/>
      <c r="T413"/>
      <c r="U413"/>
      <c r="V413" s="16"/>
      <c r="W413"/>
      <c r="X413"/>
      <c r="Y413"/>
      <c r="Z413"/>
    </row>
    <row r="414" spans="18:26">
      <c r="R414" s="62"/>
      <c r="S414" s="63"/>
      <c r="T414"/>
      <c r="U414"/>
      <c r="V414" s="16"/>
      <c r="W414"/>
      <c r="X414"/>
      <c r="Y414"/>
      <c r="Z414"/>
    </row>
    <row r="415" spans="18:26">
      <c r="R415" s="62"/>
      <c r="S415" s="63"/>
      <c r="T415"/>
      <c r="U415"/>
      <c r="V415" s="16"/>
      <c r="W415"/>
      <c r="X415"/>
      <c r="Y415"/>
      <c r="Z415"/>
    </row>
    <row r="416" spans="18:26">
      <c r="R416" s="62"/>
      <c r="S416" s="63"/>
      <c r="T416"/>
      <c r="U416"/>
      <c r="V416" s="16"/>
      <c r="W416"/>
      <c r="X416"/>
      <c r="Y416"/>
      <c r="Z416"/>
    </row>
    <row r="417" spans="18:26">
      <c r="R417" s="62"/>
      <c r="S417" s="63"/>
      <c r="T417"/>
      <c r="U417"/>
      <c r="V417" s="16"/>
      <c r="W417"/>
      <c r="X417"/>
      <c r="Y417"/>
      <c r="Z417"/>
    </row>
    <row r="418" spans="18:26">
      <c r="R418" s="62"/>
      <c r="S418" s="63"/>
      <c r="T418"/>
      <c r="U418"/>
      <c r="V418" s="16"/>
      <c r="W418"/>
      <c r="X418"/>
      <c r="Y418"/>
      <c r="Z418"/>
    </row>
    <row r="419" spans="18:26">
      <c r="R419" s="62"/>
      <c r="S419" s="63"/>
      <c r="T419"/>
      <c r="U419"/>
      <c r="V419" s="16"/>
      <c r="W419"/>
      <c r="X419"/>
      <c r="Y419"/>
      <c r="Z419"/>
    </row>
    <row r="420" spans="18:26">
      <c r="R420" s="62"/>
      <c r="S420" s="63"/>
      <c r="T420"/>
      <c r="U420"/>
      <c r="V420" s="16"/>
      <c r="W420"/>
      <c r="X420"/>
      <c r="Y420"/>
      <c r="Z420"/>
    </row>
    <row r="421" spans="18:26">
      <c r="R421" s="62"/>
      <c r="S421" s="63"/>
      <c r="T421"/>
      <c r="U421"/>
      <c r="V421" s="16"/>
      <c r="W421"/>
      <c r="X421"/>
      <c r="Y421"/>
      <c r="Z421"/>
    </row>
    <row r="422" spans="18:26">
      <c r="R422" s="62"/>
      <c r="S422" s="63"/>
      <c r="T422"/>
      <c r="U422"/>
      <c r="V422" s="16"/>
      <c r="W422"/>
      <c r="X422"/>
      <c r="Y422"/>
      <c r="Z422"/>
    </row>
    <row r="423" spans="18:26">
      <c r="R423" s="62"/>
      <c r="S423" s="63"/>
      <c r="T423"/>
      <c r="U423"/>
      <c r="V423" s="16"/>
      <c r="W423"/>
      <c r="X423"/>
      <c r="Y423"/>
      <c r="Z423"/>
    </row>
    <row r="424" spans="18:26">
      <c r="R424" s="62"/>
      <c r="S424" s="63"/>
      <c r="T424"/>
      <c r="U424"/>
      <c r="V424" s="16"/>
      <c r="W424"/>
      <c r="X424"/>
      <c r="Y424"/>
      <c r="Z424"/>
    </row>
    <row r="425" spans="18:26">
      <c r="R425" s="62"/>
      <c r="S425" s="63"/>
      <c r="T425"/>
      <c r="U425"/>
      <c r="V425" s="16"/>
      <c r="W425"/>
      <c r="X425"/>
      <c r="Y425"/>
      <c r="Z425"/>
    </row>
    <row r="426" spans="18:26">
      <c r="R426" s="62"/>
      <c r="S426" s="63"/>
      <c r="T426"/>
      <c r="U426"/>
      <c r="V426" s="16"/>
      <c r="W426"/>
      <c r="X426"/>
      <c r="Y426"/>
      <c r="Z426"/>
    </row>
    <row r="427" spans="18:26">
      <c r="R427" s="62"/>
      <c r="S427" s="63"/>
      <c r="T427"/>
      <c r="U427"/>
      <c r="V427" s="16"/>
      <c r="W427"/>
      <c r="X427"/>
      <c r="Y427"/>
      <c r="Z427"/>
    </row>
    <row r="428" spans="18:26">
      <c r="R428" s="62"/>
      <c r="S428" s="63"/>
      <c r="T428"/>
      <c r="U428"/>
      <c r="V428" s="16"/>
      <c r="W428"/>
      <c r="X428"/>
      <c r="Y428"/>
      <c r="Z428"/>
    </row>
    <row r="429" spans="18:26">
      <c r="R429" s="62"/>
      <c r="S429" s="63"/>
      <c r="T429"/>
      <c r="U429"/>
      <c r="V429" s="16"/>
      <c r="W429"/>
      <c r="X429"/>
      <c r="Y429"/>
      <c r="Z429"/>
    </row>
    <row r="430" spans="18:26">
      <c r="R430" s="62"/>
      <c r="S430" s="63"/>
      <c r="T430"/>
      <c r="U430"/>
      <c r="V430" s="16"/>
      <c r="W430"/>
      <c r="X430"/>
      <c r="Y430"/>
      <c r="Z430"/>
    </row>
    <row r="431" spans="18:26">
      <c r="R431" s="62"/>
      <c r="S431" s="63"/>
      <c r="T431"/>
      <c r="U431"/>
      <c r="V431" s="16"/>
      <c r="W431"/>
      <c r="X431"/>
      <c r="Y431"/>
      <c r="Z431"/>
    </row>
    <row r="432" spans="18:26">
      <c r="R432" s="62"/>
      <c r="S432" s="63"/>
      <c r="T432"/>
      <c r="U432"/>
      <c r="V432" s="16"/>
      <c r="W432"/>
      <c r="X432"/>
      <c r="Y432"/>
      <c r="Z432"/>
    </row>
    <row r="433" spans="18:26">
      <c r="R433" s="62"/>
      <c r="S433" s="63"/>
      <c r="T433"/>
      <c r="U433"/>
      <c r="V433" s="16"/>
      <c r="W433"/>
      <c r="X433"/>
      <c r="Y433"/>
      <c r="Z433"/>
    </row>
    <row r="434" spans="18:26">
      <c r="R434" s="62"/>
      <c r="S434" s="63"/>
      <c r="T434"/>
      <c r="U434"/>
      <c r="V434" s="16"/>
      <c r="W434"/>
      <c r="X434"/>
      <c r="Y434"/>
      <c r="Z434"/>
    </row>
    <row r="435" spans="18:26">
      <c r="R435" s="62"/>
      <c r="S435" s="63"/>
      <c r="T435"/>
      <c r="U435"/>
      <c r="V435" s="16"/>
      <c r="W435"/>
      <c r="X435"/>
      <c r="Y435"/>
      <c r="Z435"/>
    </row>
    <row r="436" spans="18:26">
      <c r="R436" s="62"/>
      <c r="S436" s="63"/>
      <c r="T436"/>
      <c r="U436"/>
      <c r="V436" s="16"/>
      <c r="W436"/>
      <c r="X436"/>
      <c r="Y436"/>
      <c r="Z436"/>
    </row>
    <row r="437" spans="18:26">
      <c r="R437" s="62"/>
      <c r="S437" s="63"/>
      <c r="T437"/>
      <c r="U437"/>
      <c r="V437" s="16"/>
      <c r="W437"/>
      <c r="X437"/>
      <c r="Y437"/>
      <c r="Z437"/>
    </row>
    <row r="438" spans="18:26">
      <c r="R438" s="62"/>
      <c r="S438" s="63"/>
      <c r="T438"/>
      <c r="U438"/>
      <c r="V438" s="16"/>
      <c r="W438"/>
      <c r="X438"/>
      <c r="Y438"/>
      <c r="Z438"/>
    </row>
    <row r="439" spans="18:26">
      <c r="R439" s="62"/>
      <c r="S439" s="63"/>
      <c r="T439"/>
      <c r="U439"/>
      <c r="V439" s="16"/>
      <c r="W439"/>
      <c r="X439"/>
      <c r="Y439"/>
      <c r="Z439"/>
    </row>
    <row r="440" spans="18:26">
      <c r="R440" s="62"/>
      <c r="S440" s="63"/>
      <c r="T440"/>
      <c r="U440"/>
      <c r="V440" s="16"/>
      <c r="W440"/>
      <c r="X440"/>
      <c r="Y440"/>
      <c r="Z440"/>
    </row>
    <row r="441" spans="18:26">
      <c r="R441" s="62"/>
      <c r="S441" s="63"/>
      <c r="T441"/>
      <c r="U441"/>
      <c r="V441" s="16"/>
      <c r="W441"/>
      <c r="X441"/>
      <c r="Y441"/>
      <c r="Z441"/>
    </row>
    <row r="442" spans="18:26">
      <c r="R442" s="62"/>
      <c r="S442" s="63"/>
      <c r="T442"/>
      <c r="U442"/>
      <c r="V442" s="16"/>
      <c r="W442"/>
      <c r="X442"/>
      <c r="Y442"/>
      <c r="Z442"/>
    </row>
    <row r="443" spans="18:26">
      <c r="R443" s="62"/>
      <c r="S443" s="63"/>
      <c r="T443"/>
      <c r="U443"/>
      <c r="V443" s="16"/>
      <c r="W443"/>
      <c r="X443"/>
      <c r="Y443"/>
      <c r="Z443"/>
    </row>
    <row r="444" spans="18:26">
      <c r="R444" s="62"/>
      <c r="S444" s="63"/>
      <c r="T444"/>
      <c r="U444"/>
      <c r="V444" s="16"/>
      <c r="W444"/>
      <c r="X444"/>
      <c r="Y444"/>
      <c r="Z444"/>
    </row>
    <row r="445" spans="18:26">
      <c r="R445" s="62"/>
      <c r="S445" s="63"/>
      <c r="T445"/>
      <c r="U445"/>
      <c r="V445" s="16"/>
      <c r="W445"/>
      <c r="X445"/>
      <c r="Y445"/>
      <c r="Z445"/>
    </row>
    <row r="446" spans="18:26">
      <c r="R446" s="62"/>
      <c r="S446" s="63"/>
      <c r="T446"/>
      <c r="U446"/>
      <c r="V446" s="16"/>
      <c r="W446"/>
      <c r="X446"/>
      <c r="Y446"/>
      <c r="Z446"/>
    </row>
    <row r="447" spans="18:26">
      <c r="R447" s="62"/>
      <c r="S447" s="63"/>
      <c r="T447"/>
      <c r="U447"/>
      <c r="V447" s="16"/>
      <c r="W447"/>
      <c r="X447"/>
      <c r="Y447"/>
      <c r="Z447"/>
    </row>
    <row r="448" spans="18:26">
      <c r="R448" s="62"/>
      <c r="S448" s="63"/>
      <c r="T448"/>
      <c r="U448"/>
      <c r="V448" s="16"/>
      <c r="W448"/>
      <c r="X448"/>
      <c r="Y448"/>
      <c r="Z448"/>
    </row>
    <row r="449" spans="18:26">
      <c r="R449" s="62"/>
      <c r="S449" s="63"/>
      <c r="T449"/>
      <c r="U449"/>
      <c r="V449" s="16"/>
      <c r="W449"/>
      <c r="X449"/>
      <c r="Y449"/>
      <c r="Z449"/>
    </row>
    <row r="450" spans="18:26">
      <c r="R450" s="62"/>
      <c r="S450" s="63"/>
      <c r="T450"/>
      <c r="U450"/>
      <c r="V450" s="16"/>
      <c r="W450"/>
      <c r="X450"/>
      <c r="Y450"/>
      <c r="Z450"/>
    </row>
    <row r="451" spans="18:26">
      <c r="R451" s="62"/>
      <c r="S451" s="63"/>
      <c r="T451"/>
      <c r="U451"/>
      <c r="V451" s="16"/>
      <c r="W451"/>
      <c r="X451"/>
      <c r="Y451"/>
      <c r="Z451"/>
    </row>
    <row r="452" spans="18:26">
      <c r="R452" s="62"/>
      <c r="S452" s="63"/>
      <c r="T452"/>
      <c r="U452"/>
      <c r="V452" s="16"/>
      <c r="W452"/>
      <c r="X452"/>
      <c r="Y452"/>
      <c r="Z452"/>
    </row>
    <row r="453" spans="18:26">
      <c r="R453" s="62"/>
      <c r="S453" s="63"/>
      <c r="T453"/>
      <c r="U453"/>
      <c r="V453" s="16"/>
      <c r="W453"/>
      <c r="X453"/>
      <c r="Y453"/>
      <c r="Z453"/>
    </row>
    <row r="454" spans="18:26">
      <c r="R454" s="62"/>
      <c r="S454" s="63"/>
      <c r="T454"/>
      <c r="U454"/>
      <c r="V454" s="16"/>
      <c r="W454"/>
      <c r="X454"/>
      <c r="Y454"/>
      <c r="Z454"/>
    </row>
    <row r="455" spans="18:26">
      <c r="R455" s="62"/>
      <c r="S455" s="63"/>
      <c r="T455"/>
      <c r="U455"/>
      <c r="V455" s="16"/>
      <c r="W455"/>
      <c r="X455"/>
      <c r="Y455"/>
      <c r="Z455"/>
    </row>
    <row r="456" spans="18:26">
      <c r="R456" s="62"/>
      <c r="S456" s="63"/>
      <c r="T456"/>
      <c r="U456"/>
      <c r="V456" s="16"/>
      <c r="W456"/>
      <c r="X456"/>
      <c r="Y456"/>
      <c r="Z456"/>
    </row>
    <row r="457" spans="18:26">
      <c r="R457" s="62"/>
      <c r="S457" s="63"/>
      <c r="T457"/>
      <c r="U457"/>
      <c r="V457" s="16"/>
      <c r="W457"/>
      <c r="X457"/>
      <c r="Y457"/>
      <c r="Z457"/>
    </row>
    <row r="458" spans="18:26">
      <c r="R458" s="62"/>
      <c r="S458" s="63"/>
      <c r="T458"/>
      <c r="U458"/>
      <c r="V458" s="16"/>
      <c r="W458"/>
      <c r="X458"/>
      <c r="Y458"/>
      <c r="Z458"/>
    </row>
    <row r="459" spans="18:26">
      <c r="R459" s="62"/>
      <c r="S459" s="63"/>
      <c r="T459"/>
      <c r="U459"/>
      <c r="V459" s="16"/>
      <c r="W459"/>
      <c r="X459"/>
      <c r="Y459"/>
      <c r="Z459"/>
    </row>
    <row r="460" spans="18:26">
      <c r="R460" s="62"/>
      <c r="S460" s="63"/>
      <c r="T460"/>
      <c r="U460"/>
      <c r="V460" s="16"/>
      <c r="W460"/>
      <c r="X460"/>
      <c r="Y460"/>
      <c r="Z460"/>
    </row>
    <row r="461" spans="18:26">
      <c r="R461" s="62"/>
      <c r="S461" s="63"/>
      <c r="T461"/>
      <c r="U461"/>
      <c r="V461" s="16"/>
      <c r="W461"/>
      <c r="X461"/>
      <c r="Y461"/>
      <c r="Z461"/>
    </row>
    <row r="462" spans="18:26">
      <c r="R462" s="62"/>
      <c r="S462" s="63"/>
      <c r="T462"/>
      <c r="U462"/>
      <c r="V462" s="16"/>
      <c r="W462"/>
      <c r="X462"/>
      <c r="Y462"/>
      <c r="Z462"/>
    </row>
    <row r="463" spans="18:26">
      <c r="R463" s="62"/>
      <c r="S463" s="63"/>
      <c r="T463"/>
      <c r="U463"/>
      <c r="V463" s="16"/>
      <c r="W463"/>
      <c r="X463"/>
      <c r="Y463"/>
      <c r="Z463"/>
    </row>
    <row r="464" spans="18:26">
      <c r="R464" s="62"/>
      <c r="S464" s="63"/>
      <c r="T464"/>
      <c r="U464"/>
      <c r="V464" s="16"/>
      <c r="W464"/>
      <c r="X464"/>
      <c r="Y464"/>
      <c r="Z464"/>
    </row>
    <row r="465" spans="18:26">
      <c r="R465" s="62"/>
      <c r="S465" s="63"/>
      <c r="T465"/>
      <c r="U465"/>
      <c r="V465" s="16"/>
      <c r="W465"/>
      <c r="X465"/>
      <c r="Y465"/>
      <c r="Z465"/>
    </row>
    <row r="466" spans="18:26">
      <c r="R466" s="62"/>
      <c r="S466" s="63"/>
      <c r="T466"/>
      <c r="U466"/>
      <c r="V466" s="16"/>
      <c r="W466"/>
      <c r="X466"/>
      <c r="Y466"/>
      <c r="Z466"/>
    </row>
    <row r="467" spans="18:26">
      <c r="R467" s="62"/>
      <c r="S467" s="63"/>
      <c r="T467"/>
      <c r="U467"/>
      <c r="V467" s="16"/>
      <c r="W467"/>
      <c r="X467"/>
      <c r="Y467"/>
      <c r="Z467"/>
    </row>
    <row r="468" spans="18:26">
      <c r="R468" s="62"/>
      <c r="S468" s="63"/>
      <c r="T468"/>
      <c r="U468"/>
      <c r="V468" s="16"/>
      <c r="W468"/>
      <c r="X468"/>
      <c r="Y468"/>
      <c r="Z468"/>
    </row>
    <row r="469" spans="18:26">
      <c r="R469" s="62"/>
      <c r="S469" s="63"/>
      <c r="T469"/>
      <c r="U469"/>
      <c r="V469" s="16"/>
      <c r="W469"/>
      <c r="X469"/>
      <c r="Y469"/>
      <c r="Z469"/>
    </row>
    <row r="470" spans="18:26">
      <c r="R470" s="62"/>
      <c r="S470" s="63"/>
      <c r="T470"/>
      <c r="U470"/>
      <c r="V470" s="16"/>
      <c r="W470"/>
      <c r="X470"/>
      <c r="Y470"/>
      <c r="Z470"/>
    </row>
    <row r="471" spans="18:26">
      <c r="R471" s="62"/>
      <c r="S471" s="63"/>
      <c r="T471"/>
      <c r="U471"/>
      <c r="V471" s="16"/>
      <c r="W471"/>
      <c r="X471"/>
      <c r="Y471"/>
      <c r="Z471"/>
    </row>
    <row r="472" spans="18:26">
      <c r="R472" s="62"/>
      <c r="S472" s="63"/>
      <c r="T472"/>
      <c r="U472"/>
      <c r="V472" s="16"/>
      <c r="W472"/>
      <c r="X472"/>
      <c r="Y472"/>
      <c r="Z472"/>
    </row>
    <row r="473" spans="18:26">
      <c r="R473" s="62"/>
      <c r="S473" s="63"/>
      <c r="T473"/>
      <c r="U473"/>
      <c r="V473" s="16"/>
      <c r="W473"/>
      <c r="X473"/>
      <c r="Y473"/>
      <c r="Z473"/>
    </row>
    <row r="474" spans="18:26">
      <c r="R474" s="62"/>
      <c r="S474" s="63"/>
      <c r="T474"/>
      <c r="U474"/>
      <c r="V474" s="16"/>
      <c r="W474"/>
      <c r="X474"/>
      <c r="Y474"/>
      <c r="Z474"/>
    </row>
    <row r="475" spans="18:26">
      <c r="R475" s="62"/>
      <c r="S475" s="63"/>
      <c r="T475"/>
      <c r="U475"/>
      <c r="V475" s="16"/>
      <c r="W475"/>
      <c r="X475"/>
      <c r="Y475"/>
      <c r="Z475"/>
    </row>
    <row r="476" spans="18:26">
      <c r="R476" s="62"/>
      <c r="S476" s="63"/>
      <c r="T476"/>
      <c r="U476"/>
      <c r="V476" s="16"/>
      <c r="W476"/>
      <c r="X476"/>
      <c r="Y476"/>
      <c r="Z476"/>
    </row>
    <row r="477" spans="18:26">
      <c r="R477" s="62"/>
      <c r="S477" s="63"/>
      <c r="T477"/>
      <c r="U477"/>
      <c r="V477" s="16"/>
      <c r="W477"/>
      <c r="X477"/>
      <c r="Y477"/>
      <c r="Z477"/>
    </row>
    <row r="478" spans="18:26">
      <c r="R478" s="62"/>
      <c r="S478" s="63"/>
      <c r="T478"/>
      <c r="U478"/>
      <c r="V478" s="16"/>
      <c r="W478"/>
      <c r="X478"/>
      <c r="Y478"/>
      <c r="Z478"/>
    </row>
    <row r="479" spans="18:26">
      <c r="R479" s="62"/>
      <c r="S479" s="63"/>
      <c r="T479"/>
      <c r="U479"/>
      <c r="V479" s="16"/>
      <c r="W479"/>
      <c r="X479"/>
      <c r="Y479"/>
      <c r="Z479"/>
    </row>
    <row r="480" spans="18:26">
      <c r="R480" s="62"/>
      <c r="S480" s="63"/>
      <c r="T480"/>
      <c r="U480"/>
      <c r="V480" s="16"/>
      <c r="W480"/>
      <c r="X480"/>
      <c r="Y480"/>
      <c r="Z480"/>
    </row>
    <row r="481" spans="18:26">
      <c r="R481" s="62"/>
      <c r="S481" s="63"/>
      <c r="T481"/>
      <c r="U481"/>
      <c r="V481" s="16"/>
      <c r="W481"/>
      <c r="X481"/>
      <c r="Y481"/>
      <c r="Z481"/>
    </row>
    <row r="482" spans="18:26">
      <c r="R482" s="62"/>
      <c r="S482" s="63"/>
      <c r="T482"/>
      <c r="U482"/>
      <c r="V482" s="16"/>
      <c r="W482"/>
      <c r="X482"/>
      <c r="Y482"/>
      <c r="Z482"/>
    </row>
    <row r="483" spans="18:26">
      <c r="R483" s="62"/>
      <c r="S483" s="63"/>
      <c r="T483"/>
      <c r="U483"/>
      <c r="V483" s="16"/>
      <c r="W483"/>
      <c r="X483"/>
      <c r="Y483"/>
      <c r="Z483"/>
    </row>
    <row r="484" spans="18:26">
      <c r="R484" s="62"/>
      <c r="S484" s="63"/>
      <c r="T484"/>
      <c r="U484"/>
      <c r="V484" s="16"/>
      <c r="W484"/>
      <c r="X484"/>
      <c r="Y484"/>
      <c r="Z484"/>
    </row>
    <row r="485" spans="18:26">
      <c r="R485" s="62"/>
      <c r="S485" s="63"/>
      <c r="T485"/>
      <c r="U485"/>
      <c r="V485" s="16"/>
      <c r="W485"/>
      <c r="X485"/>
      <c r="Y485"/>
      <c r="Z485"/>
    </row>
    <row r="486" spans="18:26">
      <c r="R486" s="62"/>
      <c r="S486" s="63"/>
      <c r="T486"/>
      <c r="U486"/>
      <c r="V486" s="16"/>
      <c r="W486"/>
      <c r="X486"/>
      <c r="Y486"/>
      <c r="Z486"/>
    </row>
    <row r="487" spans="18:26">
      <c r="R487" s="62"/>
      <c r="S487" s="63"/>
      <c r="T487"/>
      <c r="U487"/>
      <c r="V487" s="16"/>
      <c r="W487"/>
      <c r="X487"/>
      <c r="Y487"/>
      <c r="Z487"/>
    </row>
    <row r="488" spans="18:26">
      <c r="R488" s="62"/>
      <c r="S488" s="63"/>
      <c r="T488"/>
      <c r="U488"/>
      <c r="V488" s="16"/>
      <c r="W488"/>
      <c r="X488"/>
      <c r="Y488"/>
      <c r="Z488"/>
    </row>
    <row r="489" spans="18:26">
      <c r="R489" s="62"/>
      <c r="S489" s="63"/>
      <c r="T489"/>
      <c r="U489"/>
      <c r="V489" s="16"/>
      <c r="W489"/>
      <c r="X489"/>
      <c r="Y489"/>
      <c r="Z489"/>
    </row>
    <row r="490" spans="18:26">
      <c r="R490" s="62"/>
      <c r="S490" s="63"/>
      <c r="T490"/>
      <c r="U490"/>
      <c r="V490" s="16"/>
      <c r="W490"/>
      <c r="X490"/>
      <c r="Y490"/>
      <c r="Z490"/>
    </row>
    <row r="491" spans="18:26">
      <c r="R491" s="62"/>
      <c r="S491" s="63"/>
      <c r="T491"/>
      <c r="U491"/>
      <c r="V491" s="16"/>
      <c r="W491"/>
      <c r="X491"/>
      <c r="Y491"/>
      <c r="Z491"/>
    </row>
    <row r="492" spans="18:26">
      <c r="R492" s="62"/>
      <c r="S492" s="63"/>
      <c r="T492"/>
      <c r="U492"/>
      <c r="V492" s="16"/>
      <c r="W492"/>
      <c r="X492"/>
      <c r="Y492"/>
      <c r="Z492"/>
    </row>
    <row r="493" spans="18:26">
      <c r="R493" s="62"/>
      <c r="S493" s="63"/>
      <c r="T493"/>
      <c r="U493"/>
      <c r="V493" s="16"/>
      <c r="W493"/>
      <c r="X493"/>
      <c r="Y493"/>
      <c r="Z493"/>
    </row>
    <row r="494" spans="18:26">
      <c r="R494" s="62"/>
      <c r="S494" s="63"/>
      <c r="T494"/>
      <c r="U494"/>
      <c r="V494" s="16"/>
      <c r="W494"/>
      <c r="X494"/>
      <c r="Y494"/>
      <c r="Z494"/>
    </row>
    <row r="495" spans="18:26">
      <c r="R495" s="62"/>
      <c r="S495" s="63"/>
      <c r="T495"/>
      <c r="U495"/>
      <c r="V495" s="16"/>
      <c r="W495"/>
      <c r="X495"/>
      <c r="Y495"/>
      <c r="Z495"/>
    </row>
    <row r="496" spans="18:26">
      <c r="R496" s="62"/>
      <c r="S496" s="63"/>
      <c r="T496"/>
      <c r="U496"/>
      <c r="V496" s="16"/>
      <c r="W496"/>
      <c r="X496"/>
      <c r="Y496"/>
      <c r="Z496"/>
    </row>
    <row r="497" spans="18:26">
      <c r="R497" s="62"/>
      <c r="S497" s="63"/>
      <c r="T497"/>
      <c r="U497"/>
      <c r="V497" s="16"/>
      <c r="W497"/>
      <c r="X497"/>
      <c r="Y497"/>
      <c r="Z497"/>
    </row>
    <row r="498" spans="18:26">
      <c r="R498" s="62"/>
      <c r="S498" s="63"/>
      <c r="T498"/>
      <c r="U498"/>
      <c r="V498" s="16"/>
      <c r="W498"/>
      <c r="X498"/>
      <c r="Y498"/>
      <c r="Z498"/>
    </row>
    <row r="499" spans="18:26">
      <c r="R499" s="62"/>
      <c r="S499" s="63"/>
      <c r="T499"/>
      <c r="U499"/>
      <c r="V499" s="16"/>
      <c r="W499"/>
      <c r="X499"/>
      <c r="Y499"/>
      <c r="Z499"/>
    </row>
    <row r="500" spans="18:26">
      <c r="R500" s="62"/>
      <c r="S500" s="63"/>
      <c r="T500"/>
      <c r="U500"/>
      <c r="V500" s="16"/>
      <c r="W500"/>
      <c r="X500"/>
      <c r="Y500"/>
      <c r="Z500"/>
    </row>
    <row r="501" spans="18:26">
      <c r="R501" s="62"/>
      <c r="S501" s="63"/>
      <c r="T501"/>
      <c r="U501"/>
      <c r="V501" s="16"/>
      <c r="W501"/>
      <c r="X501"/>
      <c r="Y501"/>
      <c r="Z501"/>
    </row>
    <row r="502" spans="18:26">
      <c r="R502" s="62"/>
      <c r="S502" s="63"/>
      <c r="T502"/>
      <c r="U502"/>
      <c r="V502" s="16"/>
      <c r="W502"/>
      <c r="X502"/>
      <c r="Y502"/>
      <c r="Z502"/>
    </row>
    <row r="503" spans="18:26">
      <c r="R503" s="62"/>
      <c r="S503" s="63"/>
      <c r="T503"/>
      <c r="U503"/>
      <c r="V503" s="16"/>
      <c r="W503"/>
      <c r="X503"/>
      <c r="Y503"/>
      <c r="Z503"/>
    </row>
    <row r="504" spans="18:26">
      <c r="R504" s="62"/>
      <c r="S504" s="63"/>
      <c r="T504"/>
      <c r="U504"/>
      <c r="V504" s="16"/>
      <c r="W504"/>
      <c r="X504"/>
      <c r="Y504"/>
      <c r="Z504"/>
    </row>
    <row r="505" spans="18:26">
      <c r="R505" s="62"/>
      <c r="S505" s="63"/>
      <c r="T505"/>
      <c r="U505"/>
      <c r="V505" s="16"/>
      <c r="W505"/>
      <c r="X505"/>
      <c r="Y505"/>
      <c r="Z505"/>
    </row>
    <row r="506" spans="18:26">
      <c r="R506" s="62"/>
      <c r="S506" s="63"/>
      <c r="T506"/>
      <c r="U506"/>
      <c r="V506" s="16"/>
      <c r="W506"/>
      <c r="X506"/>
      <c r="Y506"/>
      <c r="Z506"/>
    </row>
    <row r="507" spans="18:26">
      <c r="R507" s="62"/>
      <c r="S507" s="63"/>
      <c r="T507"/>
      <c r="U507"/>
      <c r="V507" s="16"/>
      <c r="W507"/>
      <c r="X507"/>
      <c r="Y507"/>
      <c r="Z507"/>
    </row>
    <row r="508" spans="18:26">
      <c r="R508" s="62"/>
      <c r="S508" s="63"/>
      <c r="T508"/>
      <c r="U508"/>
      <c r="V508" s="16"/>
      <c r="W508"/>
      <c r="X508"/>
      <c r="Y508"/>
      <c r="Z508"/>
    </row>
    <row r="509" spans="18:26">
      <c r="R509" s="62"/>
      <c r="S509" s="63"/>
      <c r="T509"/>
      <c r="U509"/>
      <c r="V509" s="16"/>
      <c r="W509"/>
      <c r="X509"/>
      <c r="Y509"/>
      <c r="Z509"/>
    </row>
    <row r="510" spans="18:26">
      <c r="R510" s="62"/>
      <c r="S510" s="63"/>
      <c r="T510"/>
      <c r="U510"/>
      <c r="V510" s="16"/>
      <c r="W510"/>
      <c r="X510"/>
      <c r="Y510"/>
      <c r="Z510"/>
    </row>
    <row r="511" spans="18:26">
      <c r="R511" s="62"/>
      <c r="S511" s="63"/>
      <c r="T511"/>
      <c r="U511"/>
      <c r="V511" s="16"/>
      <c r="W511"/>
      <c r="X511"/>
      <c r="Y511"/>
      <c r="Z511"/>
    </row>
    <row r="512" spans="18:26">
      <c r="R512" s="62"/>
      <c r="S512" s="63"/>
      <c r="T512"/>
      <c r="U512"/>
      <c r="V512" s="16"/>
      <c r="W512"/>
      <c r="X512"/>
      <c r="Y512"/>
      <c r="Z512"/>
    </row>
    <row r="513" spans="18:26">
      <c r="R513" s="62"/>
      <c r="S513" s="63"/>
      <c r="T513"/>
      <c r="U513"/>
      <c r="V513" s="16"/>
      <c r="W513"/>
      <c r="X513"/>
      <c r="Y513"/>
      <c r="Z513"/>
    </row>
    <row r="514" spans="18:26">
      <c r="R514" s="62"/>
      <c r="S514" s="63"/>
      <c r="T514"/>
      <c r="U514"/>
      <c r="V514" s="16"/>
      <c r="W514"/>
      <c r="X514"/>
      <c r="Y514"/>
      <c r="Z514"/>
    </row>
    <row r="515" spans="18:26">
      <c r="R515" s="62"/>
      <c r="S515" s="63"/>
      <c r="T515"/>
      <c r="U515"/>
      <c r="V515" s="16"/>
      <c r="W515"/>
      <c r="X515"/>
      <c r="Y515"/>
      <c r="Z515"/>
    </row>
    <row r="516" spans="18:26">
      <c r="R516" s="62"/>
      <c r="S516" s="63"/>
      <c r="T516"/>
      <c r="U516"/>
      <c r="V516" s="16"/>
      <c r="W516"/>
      <c r="X516"/>
      <c r="Y516"/>
      <c r="Z516"/>
    </row>
    <row r="517" spans="18:26">
      <c r="R517" s="62"/>
      <c r="S517" s="63"/>
      <c r="T517"/>
      <c r="U517"/>
      <c r="V517" s="16"/>
      <c r="W517"/>
      <c r="X517"/>
      <c r="Y517"/>
      <c r="Z517"/>
    </row>
    <row r="518" spans="18:26">
      <c r="R518" s="62"/>
      <c r="S518" s="63"/>
      <c r="T518"/>
      <c r="U518"/>
      <c r="V518" s="16"/>
      <c r="W518"/>
      <c r="X518"/>
      <c r="Y518"/>
      <c r="Z518"/>
    </row>
    <row r="519" spans="18:26">
      <c r="R519" s="62"/>
      <c r="S519" s="63"/>
      <c r="T519"/>
      <c r="U519"/>
      <c r="V519" s="16"/>
      <c r="W519"/>
      <c r="X519"/>
      <c r="Y519"/>
      <c r="Z519"/>
    </row>
    <row r="520" spans="18:26">
      <c r="R520" s="62"/>
      <c r="S520" s="63"/>
      <c r="T520"/>
      <c r="U520"/>
      <c r="V520" s="16"/>
      <c r="W520"/>
      <c r="X520"/>
      <c r="Y520"/>
      <c r="Z520"/>
    </row>
    <row r="521" spans="18:26">
      <c r="R521" s="62"/>
      <c r="S521" s="63"/>
      <c r="T521"/>
      <c r="U521"/>
      <c r="V521" s="16"/>
      <c r="W521"/>
      <c r="X521"/>
      <c r="Y521"/>
      <c r="Z521"/>
    </row>
    <row r="522" spans="18:26">
      <c r="R522" s="62"/>
      <c r="S522" s="63"/>
      <c r="T522"/>
      <c r="U522"/>
      <c r="V522" s="16"/>
      <c r="W522"/>
      <c r="X522"/>
      <c r="Y522"/>
      <c r="Z522"/>
    </row>
    <row r="523" spans="18:26">
      <c r="R523" s="62"/>
      <c r="S523" s="63"/>
      <c r="T523"/>
      <c r="U523"/>
      <c r="V523" s="16"/>
      <c r="W523"/>
      <c r="X523"/>
      <c r="Y523"/>
      <c r="Z523"/>
    </row>
    <row r="524" spans="18:26">
      <c r="R524" s="62"/>
      <c r="S524" s="63"/>
      <c r="T524"/>
      <c r="U524"/>
      <c r="V524" s="16"/>
      <c r="W524"/>
      <c r="X524"/>
      <c r="Y524"/>
      <c r="Z524"/>
    </row>
    <row r="525" spans="18:26">
      <c r="R525" s="62"/>
      <c r="S525" s="63"/>
      <c r="T525"/>
      <c r="U525"/>
      <c r="V525" s="16"/>
      <c r="W525"/>
      <c r="X525"/>
      <c r="Y525"/>
      <c r="Z525"/>
    </row>
    <row r="526" spans="18:26">
      <c r="R526" s="62"/>
      <c r="S526" s="63"/>
      <c r="T526"/>
      <c r="U526"/>
      <c r="V526" s="16"/>
      <c r="W526"/>
      <c r="X526"/>
      <c r="Y526"/>
      <c r="Z526"/>
    </row>
    <row r="527" spans="18:26">
      <c r="R527" s="62"/>
      <c r="S527" s="63"/>
      <c r="T527"/>
      <c r="U527"/>
      <c r="V527" s="16"/>
      <c r="W527"/>
      <c r="X527"/>
      <c r="Y527"/>
      <c r="Z527"/>
    </row>
    <row r="528" spans="18:26">
      <c r="R528" s="62"/>
      <c r="S528" s="63"/>
      <c r="T528"/>
      <c r="U528"/>
      <c r="V528" s="16"/>
      <c r="W528"/>
      <c r="X528"/>
      <c r="Y528"/>
      <c r="Z528"/>
    </row>
    <row r="529" spans="18:26">
      <c r="R529" s="62"/>
      <c r="S529" s="63"/>
      <c r="T529"/>
      <c r="U529"/>
      <c r="V529" s="16"/>
      <c r="W529"/>
      <c r="X529"/>
      <c r="Y529"/>
      <c r="Z529"/>
    </row>
    <row r="530" spans="18:26">
      <c r="R530" s="62"/>
      <c r="S530" s="63"/>
      <c r="T530"/>
      <c r="U530"/>
      <c r="V530" s="16"/>
      <c r="W530"/>
      <c r="X530"/>
      <c r="Y530"/>
      <c r="Z530"/>
    </row>
    <row r="531" spans="18:26">
      <c r="R531" s="62"/>
      <c r="S531" s="63"/>
      <c r="T531"/>
      <c r="U531"/>
      <c r="V531" s="16"/>
      <c r="W531"/>
      <c r="X531"/>
      <c r="Y531"/>
      <c r="Z531"/>
    </row>
    <row r="532" spans="18:26">
      <c r="R532" s="62"/>
      <c r="S532" s="63"/>
      <c r="T532"/>
      <c r="U532"/>
      <c r="V532" s="16"/>
      <c r="W532"/>
      <c r="X532"/>
      <c r="Y532"/>
      <c r="Z532"/>
    </row>
    <row r="533" spans="18:26">
      <c r="R533" s="62"/>
      <c r="S533" s="63"/>
      <c r="T533"/>
      <c r="U533"/>
      <c r="V533" s="16"/>
      <c r="W533"/>
      <c r="X533"/>
      <c r="Y533"/>
      <c r="Z533"/>
    </row>
    <row r="534" spans="18:26">
      <c r="R534" s="62"/>
      <c r="S534" s="63"/>
      <c r="T534"/>
      <c r="U534"/>
      <c r="V534" s="16"/>
      <c r="W534"/>
      <c r="X534"/>
      <c r="Y534"/>
      <c r="Z534"/>
    </row>
    <row r="535" spans="18:26">
      <c r="R535" s="62"/>
      <c r="S535" s="63"/>
      <c r="T535"/>
      <c r="U535"/>
      <c r="V535" s="16"/>
      <c r="W535"/>
      <c r="X535"/>
      <c r="Y535"/>
      <c r="Z535"/>
    </row>
    <row r="536" spans="18:26">
      <c r="R536" s="62"/>
      <c r="S536" s="63"/>
      <c r="T536"/>
      <c r="U536"/>
      <c r="V536" s="16"/>
      <c r="W536"/>
      <c r="X536"/>
      <c r="Y536"/>
      <c r="Z536"/>
    </row>
    <row r="537" spans="18:26">
      <c r="R537" s="62"/>
      <c r="S537" s="63"/>
      <c r="T537"/>
      <c r="U537"/>
      <c r="V537" s="16"/>
      <c r="W537"/>
      <c r="X537"/>
      <c r="Y537"/>
      <c r="Z537"/>
    </row>
    <row r="538" spans="18:26">
      <c r="R538" s="62"/>
      <c r="S538" s="63"/>
      <c r="T538"/>
      <c r="U538"/>
      <c r="V538" s="16"/>
      <c r="W538"/>
      <c r="X538"/>
      <c r="Y538"/>
      <c r="Z538"/>
    </row>
    <row r="539" spans="18:26">
      <c r="R539" s="62"/>
      <c r="S539" s="63"/>
      <c r="T539"/>
      <c r="U539"/>
      <c r="V539" s="16"/>
      <c r="W539"/>
      <c r="X539"/>
      <c r="Y539"/>
      <c r="Z539"/>
    </row>
    <row r="540" spans="18:26">
      <c r="R540" s="62"/>
      <c r="S540" s="63"/>
      <c r="T540"/>
      <c r="U540"/>
      <c r="V540" s="16"/>
      <c r="W540"/>
      <c r="X540"/>
      <c r="Y540"/>
      <c r="Z540"/>
    </row>
    <row r="541" spans="18:26">
      <c r="R541" s="62"/>
      <c r="S541" s="63"/>
      <c r="T541"/>
      <c r="U541"/>
      <c r="V541" s="16"/>
      <c r="W541"/>
      <c r="X541"/>
      <c r="Y541"/>
      <c r="Z541"/>
    </row>
    <row r="542" spans="18:26">
      <c r="R542" s="62"/>
      <c r="S542" s="63"/>
      <c r="T542"/>
      <c r="U542"/>
      <c r="V542" s="16"/>
      <c r="W542"/>
      <c r="X542"/>
      <c r="Y542"/>
      <c r="Z542"/>
    </row>
    <row r="543" spans="18:26">
      <c r="R543" s="62"/>
      <c r="S543" s="63"/>
      <c r="T543"/>
      <c r="U543"/>
      <c r="V543" s="16"/>
      <c r="W543"/>
      <c r="X543"/>
      <c r="Y543"/>
      <c r="Z543"/>
    </row>
    <row r="544" spans="18:26">
      <c r="R544" s="62"/>
      <c r="S544" s="63"/>
      <c r="T544"/>
      <c r="U544"/>
      <c r="V544" s="16"/>
      <c r="W544"/>
      <c r="X544"/>
      <c r="Y544"/>
      <c r="Z544"/>
    </row>
    <row r="545" spans="18:26">
      <c r="R545" s="62"/>
      <c r="S545" s="63"/>
      <c r="T545"/>
      <c r="U545"/>
      <c r="V545" s="16"/>
      <c r="W545"/>
      <c r="X545"/>
      <c r="Y545"/>
      <c r="Z545"/>
    </row>
    <row r="546" spans="18:26">
      <c r="R546" s="62"/>
      <c r="S546" s="63"/>
      <c r="T546"/>
      <c r="U546"/>
      <c r="V546" s="16"/>
      <c r="W546"/>
      <c r="X546"/>
      <c r="Y546"/>
      <c r="Z546"/>
    </row>
    <row r="547" spans="18:26">
      <c r="R547" s="62"/>
      <c r="S547" s="63"/>
      <c r="T547"/>
      <c r="U547"/>
      <c r="V547" s="16"/>
      <c r="W547"/>
      <c r="X547"/>
      <c r="Y547"/>
      <c r="Z547"/>
    </row>
    <row r="548" spans="18:26">
      <c r="R548" s="62"/>
      <c r="S548" s="63"/>
      <c r="T548"/>
      <c r="U548"/>
      <c r="V548" s="16"/>
      <c r="W548"/>
      <c r="X548"/>
      <c r="Y548"/>
      <c r="Z548"/>
    </row>
    <row r="549" spans="18:26">
      <c r="R549" s="62"/>
      <c r="S549" s="63"/>
      <c r="T549"/>
      <c r="U549"/>
      <c r="V549" s="16"/>
      <c r="W549"/>
      <c r="X549"/>
      <c r="Y549"/>
      <c r="Z549"/>
    </row>
    <row r="550" spans="18:26">
      <c r="R550" s="62"/>
      <c r="S550" s="63"/>
      <c r="T550"/>
      <c r="U550"/>
      <c r="V550" s="16"/>
      <c r="W550"/>
      <c r="X550"/>
      <c r="Y550"/>
      <c r="Z550"/>
    </row>
    <row r="551" spans="18:26">
      <c r="R551" s="62"/>
      <c r="S551" s="63"/>
      <c r="T551"/>
      <c r="U551"/>
      <c r="V551" s="16"/>
      <c r="W551"/>
      <c r="X551"/>
      <c r="Y551"/>
      <c r="Z551"/>
    </row>
    <row r="552" spans="18:26">
      <c r="R552" s="62"/>
      <c r="S552" s="63"/>
      <c r="T552"/>
      <c r="U552"/>
      <c r="V552" s="16"/>
      <c r="W552"/>
      <c r="X552"/>
      <c r="Y552"/>
      <c r="Z552"/>
    </row>
    <row r="553" spans="18:26">
      <c r="R553" s="62"/>
      <c r="S553" s="63"/>
      <c r="T553"/>
      <c r="U553"/>
      <c r="V553" s="16"/>
      <c r="W553"/>
      <c r="X553"/>
      <c r="Y553"/>
      <c r="Z553"/>
    </row>
    <row r="554" spans="18:26">
      <c r="R554" s="62"/>
      <c r="S554" s="63"/>
      <c r="T554"/>
      <c r="U554"/>
      <c r="V554" s="16"/>
      <c r="W554"/>
      <c r="X554"/>
      <c r="Y554"/>
      <c r="Z554"/>
    </row>
    <row r="555" spans="18:26">
      <c r="R555" s="62"/>
      <c r="S555" s="63"/>
      <c r="T555"/>
      <c r="U555"/>
      <c r="V555" s="16"/>
      <c r="W555"/>
      <c r="X555"/>
      <c r="Y555"/>
      <c r="Z555"/>
    </row>
    <row r="556" spans="18:26">
      <c r="R556" s="62"/>
      <c r="S556" s="63"/>
      <c r="T556"/>
      <c r="U556"/>
      <c r="V556" s="16"/>
      <c r="W556"/>
      <c r="X556"/>
      <c r="Y556"/>
      <c r="Z556"/>
    </row>
    <row r="557" spans="18:26">
      <c r="R557" s="62"/>
      <c r="S557" s="63"/>
      <c r="T557"/>
      <c r="U557"/>
      <c r="V557" s="16"/>
      <c r="W557"/>
      <c r="X557"/>
      <c r="Y557"/>
      <c r="Z557"/>
    </row>
    <row r="558" spans="18:26">
      <c r="R558" s="62"/>
      <c r="S558" s="63"/>
      <c r="T558"/>
      <c r="U558"/>
      <c r="V558" s="16"/>
      <c r="W558"/>
      <c r="X558"/>
      <c r="Y558"/>
      <c r="Z558"/>
    </row>
    <row r="559" spans="18:26">
      <c r="R559" s="62"/>
      <c r="S559" s="63"/>
      <c r="T559"/>
      <c r="U559"/>
      <c r="V559" s="16"/>
      <c r="W559"/>
      <c r="X559"/>
      <c r="Y559"/>
      <c r="Z559"/>
    </row>
    <row r="560" spans="18:26">
      <c r="R560" s="62"/>
      <c r="S560" s="63"/>
      <c r="T560"/>
      <c r="U560"/>
      <c r="V560" s="16"/>
      <c r="W560"/>
      <c r="X560"/>
      <c r="Y560"/>
      <c r="Z560"/>
    </row>
    <row r="561" spans="18:26">
      <c r="R561" s="62"/>
      <c r="S561" s="63"/>
      <c r="T561"/>
      <c r="U561"/>
      <c r="V561" s="16"/>
      <c r="W561"/>
      <c r="X561"/>
      <c r="Y561"/>
      <c r="Z561"/>
    </row>
    <row r="562" spans="18:26">
      <c r="R562" s="62"/>
      <c r="S562" s="63"/>
      <c r="T562"/>
      <c r="U562"/>
      <c r="V562" s="16"/>
      <c r="W562"/>
      <c r="X562"/>
      <c r="Y562"/>
      <c r="Z562"/>
    </row>
    <row r="563" spans="18:26">
      <c r="R563" s="62"/>
      <c r="S563" s="63"/>
      <c r="T563"/>
      <c r="U563"/>
      <c r="V563" s="16"/>
      <c r="W563"/>
      <c r="X563"/>
      <c r="Y563"/>
      <c r="Z563"/>
    </row>
    <row r="564" spans="18:26">
      <c r="R564" s="62"/>
      <c r="S564" s="63"/>
      <c r="T564"/>
      <c r="U564"/>
      <c r="V564" s="16"/>
      <c r="W564"/>
      <c r="X564"/>
      <c r="Y564"/>
      <c r="Z564"/>
    </row>
    <row r="565" spans="18:26">
      <c r="R565" s="62"/>
      <c r="S565" s="63"/>
      <c r="T565"/>
      <c r="U565"/>
      <c r="V565" s="16"/>
      <c r="W565"/>
      <c r="X565"/>
      <c r="Y565"/>
      <c r="Z565"/>
    </row>
    <row r="566" spans="18:26">
      <c r="R566" s="62"/>
      <c r="S566" s="63"/>
      <c r="T566"/>
      <c r="U566"/>
      <c r="V566" s="16"/>
      <c r="W566"/>
      <c r="X566"/>
      <c r="Y566"/>
      <c r="Z566"/>
    </row>
    <row r="567" spans="18:26">
      <c r="R567" s="62"/>
      <c r="S567" s="63"/>
      <c r="T567"/>
      <c r="U567"/>
      <c r="V567" s="16"/>
      <c r="W567"/>
      <c r="X567"/>
      <c r="Y567"/>
      <c r="Z567"/>
    </row>
    <row r="568" spans="18:26">
      <c r="R568" s="62"/>
      <c r="S568" s="63"/>
      <c r="T568"/>
      <c r="U568"/>
      <c r="V568" s="16"/>
      <c r="W568"/>
      <c r="X568"/>
      <c r="Y568"/>
      <c r="Z568"/>
    </row>
    <row r="569" spans="18:26">
      <c r="R569" s="62"/>
      <c r="S569" s="63"/>
      <c r="T569"/>
      <c r="U569"/>
      <c r="V569" s="16"/>
      <c r="W569"/>
      <c r="X569"/>
      <c r="Y569"/>
      <c r="Z569"/>
    </row>
    <row r="570" spans="18:26">
      <c r="R570" s="62"/>
      <c r="S570" s="63"/>
      <c r="T570"/>
      <c r="U570"/>
      <c r="V570" s="16"/>
      <c r="W570"/>
      <c r="X570"/>
      <c r="Y570"/>
      <c r="Z570"/>
    </row>
    <row r="571" spans="18:26">
      <c r="R571" s="62"/>
      <c r="S571" s="63"/>
      <c r="T571"/>
      <c r="U571"/>
      <c r="V571" s="16"/>
      <c r="W571"/>
      <c r="X571"/>
      <c r="Y571"/>
      <c r="Z571"/>
    </row>
    <row r="572" spans="18:26">
      <c r="R572" s="62"/>
      <c r="S572" s="63"/>
      <c r="T572"/>
      <c r="U572"/>
      <c r="V572" s="16"/>
      <c r="W572"/>
      <c r="X572"/>
      <c r="Y572"/>
      <c r="Z572"/>
    </row>
    <row r="573" spans="18:26">
      <c r="R573" s="62"/>
      <c r="S573" s="63"/>
      <c r="T573"/>
      <c r="U573"/>
      <c r="V573" s="16"/>
      <c r="W573"/>
      <c r="X573"/>
      <c r="Y573"/>
      <c r="Z573"/>
    </row>
    <row r="574" spans="18:26">
      <c r="R574" s="62"/>
      <c r="S574" s="63"/>
      <c r="T574"/>
      <c r="U574"/>
      <c r="V574" s="16"/>
      <c r="W574"/>
      <c r="X574"/>
      <c r="Y574"/>
      <c r="Z574"/>
    </row>
    <row r="575" spans="18:26">
      <c r="R575" s="62"/>
      <c r="S575" s="63"/>
      <c r="T575"/>
      <c r="U575"/>
      <c r="V575" s="16"/>
      <c r="W575"/>
      <c r="X575"/>
      <c r="Y575"/>
      <c r="Z575"/>
    </row>
    <row r="576" spans="18:26">
      <c r="R576" s="62"/>
      <c r="S576" s="63"/>
      <c r="T576"/>
      <c r="U576"/>
      <c r="V576" s="16"/>
      <c r="W576"/>
      <c r="X576"/>
      <c r="Y576"/>
      <c r="Z576"/>
    </row>
    <row r="577" spans="18:26">
      <c r="R577" s="62"/>
      <c r="S577" s="63"/>
      <c r="T577"/>
      <c r="U577"/>
      <c r="V577" s="16"/>
      <c r="W577"/>
      <c r="X577"/>
      <c r="Y577"/>
      <c r="Z577"/>
    </row>
    <row r="578" spans="18:26">
      <c r="R578" s="62"/>
      <c r="S578" s="63"/>
      <c r="T578"/>
      <c r="U578"/>
      <c r="V578" s="16"/>
      <c r="W578"/>
      <c r="X578"/>
      <c r="Y578"/>
      <c r="Z578"/>
    </row>
    <row r="579" spans="18:26">
      <c r="R579" s="62"/>
      <c r="S579" s="63"/>
      <c r="T579"/>
      <c r="U579"/>
      <c r="V579" s="16"/>
      <c r="W579"/>
      <c r="X579"/>
      <c r="Y579"/>
      <c r="Z579"/>
    </row>
    <row r="580" spans="18:26">
      <c r="R580" s="62"/>
      <c r="S580" s="63"/>
      <c r="T580"/>
      <c r="U580"/>
      <c r="V580" s="16"/>
      <c r="W580"/>
      <c r="X580"/>
      <c r="Y580"/>
      <c r="Z580"/>
    </row>
    <row r="581" spans="18:26">
      <c r="R581" s="62"/>
      <c r="S581" s="63"/>
      <c r="T581"/>
      <c r="U581"/>
      <c r="V581" s="16"/>
      <c r="W581"/>
      <c r="X581"/>
      <c r="Y581"/>
      <c r="Z581"/>
    </row>
    <row r="582" spans="18:26">
      <c r="R582" s="62"/>
      <c r="S582" s="63"/>
      <c r="T582"/>
      <c r="U582"/>
      <c r="V582" s="16"/>
      <c r="W582"/>
      <c r="X582"/>
      <c r="Y582"/>
      <c r="Z582"/>
    </row>
    <row r="583" spans="18:26">
      <c r="R583" s="62"/>
      <c r="S583" s="63"/>
      <c r="T583"/>
      <c r="U583"/>
      <c r="V583" s="16"/>
      <c r="W583"/>
      <c r="X583"/>
      <c r="Y583"/>
      <c r="Z583"/>
    </row>
    <row r="584" spans="18:26">
      <c r="R584" s="62"/>
      <c r="S584" s="63"/>
      <c r="T584"/>
      <c r="U584"/>
      <c r="V584" s="16"/>
      <c r="W584"/>
      <c r="X584"/>
      <c r="Y584"/>
      <c r="Z584"/>
    </row>
    <row r="585" spans="18:26">
      <c r="R585" s="62"/>
      <c r="S585" s="63"/>
      <c r="T585"/>
      <c r="U585"/>
      <c r="V585" s="16"/>
      <c r="W585"/>
      <c r="X585"/>
      <c r="Y585"/>
      <c r="Z585"/>
    </row>
    <row r="586" spans="18:26">
      <c r="R586" s="62"/>
      <c r="S586" s="63"/>
      <c r="T586"/>
      <c r="U586"/>
      <c r="V586" s="16"/>
      <c r="W586"/>
      <c r="X586"/>
      <c r="Y586"/>
      <c r="Z586"/>
    </row>
    <row r="587" spans="18:26">
      <c r="R587" s="62"/>
      <c r="S587" s="63"/>
      <c r="T587"/>
      <c r="U587"/>
      <c r="V587" s="16"/>
      <c r="W587"/>
      <c r="X587"/>
      <c r="Y587"/>
      <c r="Z587"/>
    </row>
    <row r="588" spans="18:26">
      <c r="R588" s="62"/>
      <c r="S588" s="63"/>
      <c r="T588"/>
      <c r="U588"/>
      <c r="V588" s="16"/>
      <c r="W588"/>
      <c r="X588"/>
      <c r="Y588"/>
      <c r="Z588"/>
    </row>
    <row r="589" spans="18:26">
      <c r="R589" s="62"/>
      <c r="S589" s="63"/>
      <c r="T589"/>
      <c r="U589"/>
      <c r="V589" s="16"/>
      <c r="W589"/>
      <c r="X589"/>
      <c r="Y589"/>
      <c r="Z589"/>
    </row>
    <row r="590" spans="18:26">
      <c r="R590" s="62"/>
      <c r="S590" s="63"/>
      <c r="T590"/>
      <c r="U590"/>
      <c r="V590" s="16"/>
      <c r="W590"/>
      <c r="X590"/>
      <c r="Y590"/>
      <c r="Z590"/>
    </row>
    <row r="591" spans="18:26">
      <c r="R591" s="62"/>
      <c r="S591" s="63"/>
      <c r="T591"/>
      <c r="U591"/>
      <c r="V591" s="16"/>
      <c r="W591"/>
      <c r="X591"/>
      <c r="Y591"/>
      <c r="Z591"/>
    </row>
    <row r="592" spans="18:26">
      <c r="R592" s="62"/>
      <c r="S592" s="63"/>
      <c r="T592"/>
      <c r="U592"/>
      <c r="V592" s="16"/>
      <c r="W592"/>
      <c r="X592"/>
      <c r="Y592"/>
      <c r="Z592"/>
    </row>
    <row r="593" spans="18:26">
      <c r="R593" s="62"/>
      <c r="S593" s="63"/>
      <c r="T593"/>
      <c r="U593"/>
      <c r="V593" s="16"/>
      <c r="W593"/>
      <c r="X593"/>
      <c r="Y593"/>
      <c r="Z593"/>
    </row>
    <row r="594" spans="18:26">
      <c r="R594" s="62"/>
      <c r="S594" s="63"/>
      <c r="T594"/>
      <c r="U594"/>
      <c r="V594" s="16"/>
      <c r="W594"/>
      <c r="X594"/>
      <c r="Y594"/>
      <c r="Z594"/>
    </row>
    <row r="595" spans="18:26">
      <c r="R595" s="62"/>
      <c r="S595" s="63"/>
      <c r="T595"/>
      <c r="U595"/>
      <c r="V595" s="16"/>
      <c r="W595"/>
      <c r="X595"/>
      <c r="Y595"/>
      <c r="Z595"/>
    </row>
    <row r="596" spans="18:26">
      <c r="R596" s="62"/>
      <c r="S596" s="63"/>
      <c r="T596"/>
      <c r="U596"/>
      <c r="V596" s="16"/>
      <c r="W596"/>
      <c r="X596"/>
      <c r="Y596"/>
      <c r="Z596"/>
    </row>
    <row r="597" spans="18:26">
      <c r="R597" s="62"/>
      <c r="S597" s="63"/>
      <c r="T597"/>
      <c r="U597"/>
      <c r="V597" s="16"/>
      <c r="W597"/>
      <c r="X597"/>
      <c r="Y597"/>
      <c r="Z597"/>
    </row>
    <row r="598" spans="18:26">
      <c r="R598" s="62"/>
      <c r="S598" s="63"/>
      <c r="T598"/>
      <c r="U598"/>
      <c r="V598" s="16"/>
      <c r="W598"/>
      <c r="X598"/>
      <c r="Y598"/>
      <c r="Z598"/>
    </row>
    <row r="599" spans="18:26">
      <c r="R599" s="62"/>
      <c r="S599" s="63"/>
      <c r="T599"/>
      <c r="U599"/>
      <c r="V599" s="16"/>
      <c r="W599"/>
      <c r="X599"/>
      <c r="Y599"/>
      <c r="Z599"/>
    </row>
    <row r="600" spans="18:26">
      <c r="R600" s="62"/>
      <c r="S600" s="63"/>
      <c r="T600"/>
      <c r="U600"/>
      <c r="V600" s="16"/>
      <c r="W600"/>
      <c r="X600"/>
      <c r="Y600"/>
      <c r="Z600"/>
    </row>
    <row r="601" spans="18:26">
      <c r="R601" s="62"/>
      <c r="S601" s="63"/>
      <c r="T601"/>
      <c r="U601"/>
      <c r="V601" s="16"/>
      <c r="W601"/>
      <c r="X601"/>
      <c r="Y601"/>
      <c r="Z601"/>
    </row>
    <row r="602" spans="18:26">
      <c r="R602" s="62"/>
      <c r="S602" s="63"/>
      <c r="T602"/>
      <c r="U602"/>
      <c r="V602" s="16"/>
      <c r="W602"/>
      <c r="X602"/>
      <c r="Y602"/>
      <c r="Z602"/>
    </row>
    <row r="603" spans="18:26">
      <c r="R603" s="62"/>
      <c r="S603" s="63"/>
      <c r="T603"/>
      <c r="U603"/>
      <c r="V603" s="16"/>
      <c r="W603"/>
      <c r="X603"/>
      <c r="Y603"/>
      <c r="Z603"/>
    </row>
    <row r="604" spans="18:26">
      <c r="R604" s="62"/>
      <c r="S604" s="63"/>
      <c r="T604"/>
      <c r="U604"/>
      <c r="V604" s="16"/>
      <c r="W604"/>
      <c r="X604"/>
      <c r="Y604"/>
      <c r="Z604"/>
    </row>
    <row r="605" spans="18:26">
      <c r="R605" s="62"/>
      <c r="S605" s="63"/>
      <c r="T605"/>
      <c r="U605"/>
      <c r="V605" s="16"/>
      <c r="W605"/>
      <c r="X605"/>
      <c r="Y605"/>
      <c r="Z605"/>
    </row>
    <row r="606" spans="18:26">
      <c r="R606" s="62"/>
      <c r="S606" s="63"/>
      <c r="T606"/>
      <c r="U606"/>
      <c r="V606" s="16"/>
      <c r="W606"/>
      <c r="X606"/>
      <c r="Y606"/>
      <c r="Z606"/>
    </row>
    <row r="607" spans="18:26">
      <c r="R607" s="62"/>
      <c r="S607" s="63"/>
      <c r="T607"/>
      <c r="U607"/>
      <c r="V607" s="16"/>
      <c r="W607"/>
      <c r="X607"/>
      <c r="Y607"/>
      <c r="Z607"/>
    </row>
    <row r="608" spans="18:26">
      <c r="R608" s="62"/>
      <c r="S608" s="63"/>
      <c r="T608"/>
      <c r="U608"/>
      <c r="V608" s="16"/>
      <c r="W608"/>
      <c r="X608"/>
      <c r="Y608"/>
      <c r="Z608"/>
    </row>
    <row r="609" spans="18:26">
      <c r="R609" s="62"/>
      <c r="S609" s="63"/>
      <c r="T609"/>
      <c r="U609"/>
      <c r="V609" s="16"/>
      <c r="W609"/>
      <c r="X609"/>
      <c r="Y609"/>
      <c r="Z609"/>
    </row>
    <row r="610" spans="18:26">
      <c r="R610" s="62"/>
      <c r="S610" s="63"/>
      <c r="T610"/>
      <c r="U610"/>
      <c r="V610" s="16"/>
      <c r="W610"/>
      <c r="X610"/>
      <c r="Y610"/>
      <c r="Z610"/>
    </row>
    <row r="611" spans="18:26">
      <c r="R611" s="62"/>
      <c r="S611" s="63"/>
      <c r="T611"/>
      <c r="U611"/>
      <c r="V611" s="16"/>
      <c r="W611"/>
      <c r="X611"/>
      <c r="Y611"/>
      <c r="Z611"/>
    </row>
    <row r="612" spans="18:26">
      <c r="R612" s="62"/>
      <c r="S612" s="63"/>
      <c r="T612"/>
      <c r="U612"/>
      <c r="V612" s="16"/>
      <c r="W612"/>
      <c r="X612"/>
      <c r="Y612"/>
      <c r="Z612"/>
    </row>
    <row r="613" spans="18:26">
      <c r="R613" s="62"/>
      <c r="S613" s="63"/>
      <c r="T613"/>
      <c r="U613"/>
      <c r="V613" s="16"/>
      <c r="W613"/>
      <c r="X613"/>
      <c r="Y613"/>
      <c r="Z613"/>
    </row>
    <row r="614" spans="18:26">
      <c r="R614" s="62"/>
      <c r="S614" s="63"/>
      <c r="T614"/>
      <c r="U614"/>
      <c r="V614" s="16"/>
      <c r="W614"/>
      <c r="X614"/>
      <c r="Y614"/>
      <c r="Z614"/>
    </row>
    <row r="615" spans="18:26">
      <c r="R615" s="62"/>
      <c r="S615" s="63"/>
      <c r="T615"/>
      <c r="U615"/>
      <c r="V615" s="16"/>
      <c r="W615"/>
      <c r="X615"/>
      <c r="Y615"/>
      <c r="Z615"/>
    </row>
    <row r="616" spans="18:26">
      <c r="R616" s="62"/>
      <c r="S616" s="63"/>
      <c r="T616"/>
      <c r="U616"/>
      <c r="V616" s="16"/>
      <c r="W616"/>
      <c r="X616"/>
      <c r="Y616"/>
      <c r="Z616"/>
    </row>
    <row r="617" spans="18:26">
      <c r="R617" s="62"/>
      <c r="S617" s="63"/>
      <c r="T617"/>
      <c r="U617"/>
      <c r="V617" s="16"/>
      <c r="W617"/>
      <c r="X617"/>
      <c r="Y617"/>
      <c r="Z617"/>
    </row>
    <row r="618" spans="18:26">
      <c r="R618" s="62"/>
      <c r="S618" s="63"/>
      <c r="T618"/>
      <c r="U618"/>
      <c r="V618" s="16"/>
      <c r="W618"/>
      <c r="X618"/>
      <c r="Y618"/>
      <c r="Z618"/>
    </row>
    <row r="619" spans="18:26">
      <c r="R619" s="62"/>
      <c r="S619" s="63"/>
      <c r="T619"/>
      <c r="U619"/>
      <c r="V619" s="16"/>
      <c r="W619"/>
      <c r="X619"/>
      <c r="Y619"/>
      <c r="Z619"/>
    </row>
    <row r="620" spans="18:26">
      <c r="R620" s="62"/>
      <c r="S620" s="63"/>
      <c r="T620"/>
      <c r="U620"/>
      <c r="V620" s="16"/>
      <c r="W620"/>
      <c r="X620"/>
      <c r="Y620"/>
      <c r="Z620"/>
    </row>
    <row r="621" spans="18:26">
      <c r="R621" s="62"/>
      <c r="S621" s="63"/>
      <c r="T621"/>
      <c r="U621"/>
      <c r="V621" s="16"/>
      <c r="W621"/>
      <c r="X621"/>
      <c r="Y621"/>
      <c r="Z621"/>
    </row>
    <row r="622" spans="18:26">
      <c r="R622" s="62"/>
      <c r="S622" s="63"/>
      <c r="T622"/>
      <c r="U622"/>
      <c r="V622" s="16"/>
      <c r="W622"/>
      <c r="X622"/>
      <c r="Y622"/>
      <c r="Z622"/>
    </row>
    <row r="623" spans="18:26">
      <c r="R623" s="62"/>
      <c r="S623" s="63"/>
      <c r="T623"/>
      <c r="U623"/>
      <c r="V623" s="16"/>
      <c r="W623"/>
      <c r="X623"/>
      <c r="Y623"/>
      <c r="Z623"/>
    </row>
    <row r="624" spans="18:26">
      <c r="R624" s="62"/>
      <c r="S624" s="63"/>
      <c r="T624"/>
      <c r="U624"/>
      <c r="V624" s="16"/>
      <c r="W624"/>
      <c r="X624"/>
      <c r="Y624"/>
      <c r="Z624"/>
    </row>
    <row r="625" spans="18:26">
      <c r="R625" s="62"/>
      <c r="S625" s="63"/>
      <c r="T625"/>
      <c r="U625"/>
      <c r="V625" s="16"/>
      <c r="W625"/>
      <c r="X625"/>
      <c r="Y625"/>
      <c r="Z625"/>
    </row>
    <row r="626" spans="18:26">
      <c r="R626" s="62"/>
      <c r="S626" s="63"/>
      <c r="T626"/>
      <c r="U626"/>
      <c r="V626" s="16"/>
      <c r="W626"/>
      <c r="X626"/>
      <c r="Y626"/>
      <c r="Z626"/>
    </row>
    <row r="627" spans="18:26">
      <c r="R627" s="62"/>
      <c r="S627" s="63"/>
      <c r="T627"/>
      <c r="U627"/>
      <c r="V627" s="16"/>
      <c r="W627"/>
      <c r="X627"/>
      <c r="Y627"/>
      <c r="Z627"/>
    </row>
    <row r="628" spans="18:26">
      <c r="R628" s="62"/>
      <c r="S628" s="63"/>
      <c r="T628"/>
      <c r="U628"/>
      <c r="V628" s="16"/>
      <c r="W628"/>
      <c r="X628"/>
      <c r="Y628"/>
      <c r="Z628"/>
    </row>
    <row r="629" spans="18:26">
      <c r="R629" s="62"/>
      <c r="S629" s="63"/>
      <c r="T629"/>
      <c r="U629"/>
      <c r="V629" s="16"/>
      <c r="W629"/>
      <c r="X629"/>
      <c r="Y629"/>
      <c r="Z629"/>
    </row>
    <row r="630" spans="18:26">
      <c r="R630" s="62"/>
      <c r="S630" s="63"/>
      <c r="T630"/>
      <c r="U630"/>
      <c r="V630" s="16"/>
      <c r="W630"/>
      <c r="X630"/>
      <c r="Y630"/>
      <c r="Z630"/>
    </row>
    <row r="631" spans="18:26">
      <c r="R631" s="62"/>
      <c r="S631" s="63"/>
      <c r="T631"/>
      <c r="U631"/>
      <c r="V631" s="16"/>
      <c r="W631"/>
      <c r="X631"/>
      <c r="Y631"/>
      <c r="Z631"/>
    </row>
    <row r="632" spans="18:26">
      <c r="R632" s="62"/>
      <c r="S632" s="63"/>
      <c r="T632"/>
      <c r="U632"/>
      <c r="V632" s="16"/>
      <c r="W632"/>
      <c r="X632"/>
      <c r="Y632"/>
      <c r="Z632"/>
    </row>
    <row r="633" spans="18:26">
      <c r="R633" s="62"/>
      <c r="S633" s="63"/>
      <c r="T633"/>
      <c r="U633"/>
      <c r="V633" s="16"/>
      <c r="W633"/>
      <c r="X633"/>
      <c r="Y633"/>
      <c r="Z633"/>
    </row>
    <row r="634" spans="18:26">
      <c r="R634" s="62"/>
      <c r="S634" s="63"/>
      <c r="T634"/>
      <c r="U634"/>
      <c r="V634" s="16"/>
      <c r="W634"/>
      <c r="X634"/>
      <c r="Y634"/>
      <c r="Z634"/>
    </row>
    <row r="635" spans="18:26">
      <c r="R635" s="62"/>
      <c r="S635" s="63"/>
      <c r="T635"/>
      <c r="U635"/>
      <c r="V635" s="16"/>
      <c r="W635"/>
      <c r="X635"/>
      <c r="Y635"/>
      <c r="Z635"/>
    </row>
    <row r="636" spans="18:26">
      <c r="R636" s="62"/>
      <c r="S636" s="63"/>
      <c r="T636"/>
      <c r="U636"/>
      <c r="V636" s="16"/>
      <c r="W636"/>
      <c r="X636"/>
      <c r="Y636"/>
      <c r="Z636"/>
    </row>
    <row r="637" spans="18:26">
      <c r="R637" s="62"/>
      <c r="S637" s="63"/>
      <c r="T637"/>
      <c r="U637"/>
      <c r="V637" s="16"/>
      <c r="W637"/>
      <c r="X637"/>
      <c r="Y637"/>
      <c r="Z637"/>
    </row>
    <row r="638" spans="18:26">
      <c r="R638" s="62"/>
      <c r="S638" s="63"/>
      <c r="T638"/>
      <c r="U638"/>
      <c r="V638" s="16"/>
      <c r="W638"/>
      <c r="X638"/>
      <c r="Y638"/>
      <c r="Z638"/>
    </row>
    <row r="639" spans="18:26">
      <c r="R639" s="62"/>
      <c r="S639" s="63"/>
      <c r="T639"/>
      <c r="U639"/>
      <c r="V639" s="16"/>
      <c r="W639"/>
      <c r="X639"/>
      <c r="Y639"/>
      <c r="Z639"/>
    </row>
    <row r="640" spans="18:26">
      <c r="R640" s="62"/>
      <c r="S640" s="63"/>
      <c r="T640"/>
      <c r="U640"/>
      <c r="V640" s="16"/>
      <c r="W640"/>
      <c r="X640"/>
      <c r="Y640"/>
      <c r="Z640"/>
    </row>
    <row r="641" spans="18:26">
      <c r="R641" s="62"/>
      <c r="S641" s="63"/>
      <c r="T641"/>
      <c r="U641"/>
      <c r="V641" s="16"/>
      <c r="W641"/>
      <c r="X641"/>
      <c r="Y641"/>
      <c r="Z641"/>
    </row>
    <row r="642" spans="18:26">
      <c r="R642" s="62"/>
      <c r="S642" s="63"/>
      <c r="T642"/>
      <c r="U642"/>
      <c r="V642" s="16"/>
      <c r="W642"/>
      <c r="X642"/>
      <c r="Y642"/>
      <c r="Z642"/>
    </row>
    <row r="643" spans="18:26">
      <c r="R643" s="62"/>
      <c r="S643" s="63"/>
      <c r="T643"/>
      <c r="U643"/>
      <c r="V643" s="16"/>
      <c r="W643"/>
      <c r="X643"/>
      <c r="Y643"/>
      <c r="Z643"/>
    </row>
    <row r="644" spans="18:26">
      <c r="R644" s="62"/>
      <c r="S644" s="63"/>
      <c r="T644"/>
      <c r="U644"/>
      <c r="V644" s="16"/>
      <c r="W644"/>
      <c r="X644"/>
      <c r="Y644"/>
      <c r="Z644"/>
    </row>
    <row r="645" spans="18:26">
      <c r="R645" s="62"/>
      <c r="S645" s="63"/>
      <c r="T645"/>
      <c r="U645"/>
      <c r="V645" s="16"/>
      <c r="W645"/>
      <c r="X645"/>
      <c r="Y645"/>
      <c r="Z645"/>
    </row>
    <row r="646" spans="18:26">
      <c r="R646" s="62"/>
      <c r="S646" s="63"/>
      <c r="T646"/>
      <c r="U646"/>
      <c r="V646" s="16"/>
      <c r="W646"/>
      <c r="X646"/>
      <c r="Y646"/>
      <c r="Z646"/>
    </row>
    <row r="647" spans="18:26">
      <c r="R647" s="62"/>
      <c r="S647" s="63"/>
      <c r="T647"/>
      <c r="U647"/>
      <c r="V647" s="16"/>
      <c r="W647"/>
      <c r="X647"/>
      <c r="Y647"/>
      <c r="Z647"/>
    </row>
    <row r="648" spans="18:26">
      <c r="R648" s="62"/>
      <c r="S648" s="63"/>
      <c r="T648"/>
      <c r="U648"/>
      <c r="V648" s="16"/>
      <c r="W648"/>
      <c r="X648"/>
      <c r="Y648"/>
      <c r="Z648"/>
    </row>
    <row r="649" spans="18:26">
      <c r="R649" s="62"/>
      <c r="S649" s="63"/>
      <c r="T649"/>
      <c r="U649"/>
      <c r="V649" s="16"/>
      <c r="W649"/>
      <c r="X649"/>
      <c r="Y649"/>
      <c r="Z649"/>
    </row>
    <row r="650" spans="18:26">
      <c r="R650" s="62"/>
      <c r="S650" s="63"/>
      <c r="T650"/>
      <c r="U650"/>
      <c r="V650" s="16"/>
      <c r="W650"/>
      <c r="X650"/>
      <c r="Y650"/>
      <c r="Z650"/>
    </row>
    <row r="651" spans="18:26">
      <c r="R651" s="62"/>
      <c r="S651" s="63"/>
      <c r="T651"/>
      <c r="U651"/>
      <c r="V651" s="16"/>
      <c r="W651"/>
      <c r="X651"/>
      <c r="Y651"/>
      <c r="Z651"/>
    </row>
    <row r="652" spans="18:26">
      <c r="R652" s="62"/>
      <c r="S652" s="63"/>
      <c r="T652"/>
      <c r="U652"/>
      <c r="V652" s="16"/>
      <c r="W652"/>
      <c r="X652"/>
      <c r="Y652"/>
      <c r="Z652"/>
    </row>
    <row r="653" spans="18:26">
      <c r="R653" s="62"/>
      <c r="S653" s="63"/>
      <c r="T653"/>
      <c r="U653"/>
      <c r="V653" s="16"/>
      <c r="W653"/>
      <c r="X653"/>
      <c r="Y653"/>
      <c r="Z653"/>
    </row>
    <row r="654" spans="18:26">
      <c r="R654" s="62"/>
      <c r="S654" s="63"/>
      <c r="T654"/>
      <c r="U654"/>
      <c r="V654" s="16"/>
      <c r="W654"/>
      <c r="X654"/>
      <c r="Y654"/>
      <c r="Z654"/>
    </row>
    <row r="655" spans="18:26">
      <c r="R655" s="62"/>
      <c r="S655" s="63"/>
      <c r="T655"/>
      <c r="U655"/>
      <c r="V655" s="16"/>
      <c r="W655"/>
      <c r="X655"/>
      <c r="Y655"/>
      <c r="Z655"/>
    </row>
    <row r="656" spans="18:26">
      <c r="R656" s="62"/>
      <c r="S656" s="63"/>
      <c r="T656"/>
      <c r="U656"/>
      <c r="V656" s="16"/>
      <c r="W656"/>
      <c r="X656"/>
      <c r="Y656"/>
      <c r="Z656"/>
    </row>
    <row r="657" spans="18:26">
      <c r="R657" s="62"/>
      <c r="S657" s="63"/>
      <c r="T657"/>
      <c r="U657"/>
      <c r="V657" s="16"/>
      <c r="W657"/>
      <c r="X657"/>
      <c r="Y657"/>
      <c r="Z657"/>
    </row>
    <row r="658" spans="18:26">
      <c r="R658" s="62"/>
      <c r="S658" s="63"/>
      <c r="T658"/>
      <c r="U658"/>
      <c r="V658" s="16"/>
      <c r="W658"/>
      <c r="X658"/>
      <c r="Y658"/>
      <c r="Z658"/>
    </row>
    <row r="659" spans="18:26">
      <c r="R659" s="62"/>
      <c r="S659" s="63"/>
      <c r="T659"/>
      <c r="U659"/>
      <c r="V659" s="16"/>
      <c r="W659"/>
      <c r="X659"/>
      <c r="Y659"/>
      <c r="Z659"/>
    </row>
    <row r="660" spans="18:26">
      <c r="S660" s="63"/>
      <c r="V660" s="16"/>
    </row>
    <row r="661" spans="18:26">
      <c r="S661" s="63"/>
      <c r="V661" s="16"/>
    </row>
    <row r="662" spans="18:26">
      <c r="S662" s="63"/>
      <c r="V662" s="16"/>
    </row>
    <row r="663" spans="18:26">
      <c r="S663" s="63"/>
      <c r="V663" s="16"/>
    </row>
    <row r="664" spans="18:26">
      <c r="S664" s="63"/>
      <c r="V664" s="16"/>
    </row>
    <row r="665" spans="18:26">
      <c r="S665" s="63"/>
      <c r="V665" s="16"/>
    </row>
    <row r="666" spans="18:26">
      <c r="V666" s="16"/>
    </row>
    <row r="667" spans="18:26">
      <c r="V667" s="16"/>
    </row>
    <row r="668" spans="18:26">
      <c r="V668" s="16"/>
    </row>
    <row r="669" spans="18:26">
      <c r="V669" s="16"/>
    </row>
    <row r="670" spans="18:26">
      <c r="V670" s="16"/>
    </row>
    <row r="671" spans="18:26">
      <c r="V671" s="16"/>
    </row>
    <row r="672" spans="18:26">
      <c r="V672" s="16"/>
    </row>
    <row r="673" spans="22:22">
      <c r="V673" s="16"/>
    </row>
    <row r="674" spans="22:22">
      <c r="V674" s="16"/>
    </row>
    <row r="675" spans="22:22">
      <c r="V675" s="16"/>
    </row>
    <row r="676" spans="22:22">
      <c r="V676" s="16"/>
    </row>
    <row r="677" spans="22:22">
      <c r="V677" s="16"/>
    </row>
    <row r="678" spans="22:22">
      <c r="V678" s="16"/>
    </row>
    <row r="679" spans="22:22">
      <c r="V679" s="16"/>
    </row>
    <row r="680" spans="22:22">
      <c r="V680" s="16"/>
    </row>
    <row r="681" spans="22:22">
      <c r="V681" s="16"/>
    </row>
    <row r="682" spans="22:22">
      <c r="V682" s="16"/>
    </row>
    <row r="683" spans="22:22">
      <c r="V683" s="16"/>
    </row>
    <row r="684" spans="22:22">
      <c r="V684" s="16"/>
    </row>
    <row r="685" spans="22:22">
      <c r="V685" s="16"/>
    </row>
    <row r="686" spans="22:22">
      <c r="V686" s="16"/>
    </row>
    <row r="687" spans="22:22">
      <c r="V687" s="16"/>
    </row>
    <row r="688" spans="22:22">
      <c r="V688" s="16"/>
    </row>
    <row r="689" spans="22:22">
      <c r="V689" s="16"/>
    </row>
    <row r="690" spans="22:22">
      <c r="V690" s="16"/>
    </row>
    <row r="691" spans="22:22">
      <c r="V691" s="16"/>
    </row>
    <row r="692" spans="22:22">
      <c r="V692" s="16"/>
    </row>
    <row r="693" spans="22:22">
      <c r="V693" s="16"/>
    </row>
    <row r="694" spans="22:22">
      <c r="V694" s="16"/>
    </row>
    <row r="695" spans="22:22">
      <c r="V695" s="16"/>
    </row>
    <row r="696" spans="22:22">
      <c r="V696" s="16"/>
    </row>
    <row r="697" spans="22:22">
      <c r="V697" s="16"/>
    </row>
    <row r="698" spans="22:22">
      <c r="V698" s="16"/>
    </row>
    <row r="699" spans="22:22">
      <c r="V699" s="16"/>
    </row>
    <row r="700" spans="22:22">
      <c r="V700" s="16"/>
    </row>
    <row r="701" spans="22:22">
      <c r="V701" s="16"/>
    </row>
    <row r="702" spans="22:22">
      <c r="V702" s="16"/>
    </row>
    <row r="703" spans="22:22">
      <c r="V703" s="16"/>
    </row>
    <row r="704" spans="22:22">
      <c r="V704" s="16"/>
    </row>
    <row r="705" spans="22:22">
      <c r="V705" s="16"/>
    </row>
    <row r="706" spans="22:22">
      <c r="V706" s="16"/>
    </row>
    <row r="707" spans="22:22">
      <c r="V707" s="16"/>
    </row>
    <row r="708" spans="22:22">
      <c r="V708" s="16"/>
    </row>
    <row r="709" spans="22:22">
      <c r="V709" s="16"/>
    </row>
    <row r="710" spans="22:22">
      <c r="V710" s="16"/>
    </row>
    <row r="711" spans="22:22">
      <c r="V711" s="16"/>
    </row>
    <row r="712" spans="22:22">
      <c r="V712" s="16"/>
    </row>
    <row r="713" spans="22:22">
      <c r="V713" s="16"/>
    </row>
    <row r="714" spans="22:22">
      <c r="V714" s="16"/>
    </row>
    <row r="715" spans="22:22">
      <c r="V715" s="16"/>
    </row>
    <row r="716" spans="22:22">
      <c r="V716" s="16"/>
    </row>
    <row r="717" spans="22:22">
      <c r="V717" s="16"/>
    </row>
    <row r="718" spans="22:22">
      <c r="V718" s="16"/>
    </row>
    <row r="719" spans="22:22">
      <c r="V719" s="16"/>
    </row>
    <row r="720" spans="22:22">
      <c r="V720" s="16"/>
    </row>
    <row r="721" spans="22:22">
      <c r="V721" s="16"/>
    </row>
    <row r="722" spans="22:22">
      <c r="V722" s="16"/>
    </row>
    <row r="723" spans="22:22">
      <c r="V723" s="16"/>
    </row>
    <row r="724" spans="22:22">
      <c r="V724" s="16"/>
    </row>
    <row r="725" spans="22:22">
      <c r="V725" s="16"/>
    </row>
    <row r="726" spans="22:22">
      <c r="V726" s="16"/>
    </row>
    <row r="727" spans="22:22">
      <c r="V727" s="16"/>
    </row>
    <row r="728" spans="22:22">
      <c r="V728" s="16"/>
    </row>
    <row r="729" spans="22:22">
      <c r="V729" s="16"/>
    </row>
    <row r="730" spans="22:22">
      <c r="V730" s="16"/>
    </row>
    <row r="731" spans="22:22">
      <c r="V731" s="16"/>
    </row>
    <row r="732" spans="22:22">
      <c r="V732" s="16"/>
    </row>
    <row r="733" spans="22:22">
      <c r="V733" s="16"/>
    </row>
    <row r="734" spans="22:22">
      <c r="V734" s="16"/>
    </row>
    <row r="735" spans="22:22">
      <c r="V735" s="16"/>
    </row>
    <row r="736" spans="22:22">
      <c r="V736" s="16"/>
    </row>
    <row r="737" spans="22:22">
      <c r="V737" s="16"/>
    </row>
    <row r="738" spans="22:22">
      <c r="V738" s="16"/>
    </row>
    <row r="739" spans="22:22">
      <c r="V739" s="16"/>
    </row>
    <row r="740" spans="22:22">
      <c r="V740" s="16"/>
    </row>
    <row r="741" spans="22:22">
      <c r="V741" s="16"/>
    </row>
    <row r="742" spans="22:22">
      <c r="V742" s="16"/>
    </row>
    <row r="743" spans="22:22">
      <c r="V743" s="16"/>
    </row>
    <row r="744" spans="22:22">
      <c r="V744" s="16"/>
    </row>
    <row r="745" spans="22:22">
      <c r="V745" s="16"/>
    </row>
    <row r="746" spans="22:22">
      <c r="V746" s="16"/>
    </row>
    <row r="747" spans="22:22">
      <c r="V747" s="16"/>
    </row>
    <row r="748" spans="22:22">
      <c r="V748" s="16"/>
    </row>
    <row r="749" spans="22:22">
      <c r="V749" s="16"/>
    </row>
    <row r="750" spans="22:22">
      <c r="V750" s="16"/>
    </row>
    <row r="751" spans="22:22">
      <c r="V751" s="16"/>
    </row>
    <row r="752" spans="22:22">
      <c r="V752" s="16"/>
    </row>
    <row r="753" spans="22:22">
      <c r="V753" s="16"/>
    </row>
    <row r="754" spans="22:22">
      <c r="V754" s="16"/>
    </row>
    <row r="755" spans="22:22">
      <c r="V755" s="16"/>
    </row>
    <row r="756" spans="22:22">
      <c r="V756" s="16"/>
    </row>
    <row r="757" spans="22:22">
      <c r="V757" s="16"/>
    </row>
    <row r="758" spans="22:22">
      <c r="V758" s="16"/>
    </row>
    <row r="759" spans="22:22">
      <c r="V759" s="16"/>
    </row>
    <row r="760" spans="22:22">
      <c r="V760" s="16"/>
    </row>
    <row r="761" spans="22:22">
      <c r="V761" s="16"/>
    </row>
    <row r="762" spans="22:22">
      <c r="V762" s="16"/>
    </row>
    <row r="763" spans="22:22">
      <c r="V763" s="16"/>
    </row>
    <row r="764" spans="22:22">
      <c r="V764" s="16"/>
    </row>
    <row r="765" spans="22:22">
      <c r="V765" s="16"/>
    </row>
    <row r="766" spans="22:22">
      <c r="V766" s="16"/>
    </row>
    <row r="767" spans="22:22">
      <c r="V767" s="16"/>
    </row>
    <row r="768" spans="22:22">
      <c r="V768" s="16"/>
    </row>
    <row r="769" spans="22:22">
      <c r="V769" s="16"/>
    </row>
    <row r="770" spans="22:22">
      <c r="V770" s="16"/>
    </row>
    <row r="771" spans="22:22">
      <c r="V771" s="16"/>
    </row>
    <row r="772" spans="22:22">
      <c r="V772" s="16"/>
    </row>
    <row r="773" spans="22:22">
      <c r="V773" s="16"/>
    </row>
    <row r="774" spans="22:22">
      <c r="V774" s="16"/>
    </row>
    <row r="775" spans="22:22">
      <c r="V775" s="16"/>
    </row>
    <row r="776" spans="22:22">
      <c r="V776" s="16"/>
    </row>
    <row r="777" spans="22:22">
      <c r="V777" s="16"/>
    </row>
    <row r="778" spans="22:22">
      <c r="V778" s="16"/>
    </row>
    <row r="779" spans="22:22">
      <c r="V779" s="16"/>
    </row>
    <row r="780" spans="22:22">
      <c r="V780" s="16"/>
    </row>
    <row r="781" spans="22:22">
      <c r="V781" s="16"/>
    </row>
    <row r="782" spans="22:22">
      <c r="V782" s="16"/>
    </row>
    <row r="783" spans="22:22">
      <c r="V783" s="16"/>
    </row>
    <row r="784" spans="22:22">
      <c r="V784" s="16"/>
    </row>
    <row r="785" spans="22:22">
      <c r="V785" s="16"/>
    </row>
    <row r="786" spans="22:22">
      <c r="V786" s="16"/>
    </row>
    <row r="787" spans="22:22">
      <c r="V787" s="16"/>
    </row>
    <row r="788" spans="22:22">
      <c r="V788" s="16"/>
    </row>
    <row r="789" spans="22:22">
      <c r="V789" s="16"/>
    </row>
    <row r="790" spans="22:22">
      <c r="V790" s="16"/>
    </row>
    <row r="791" spans="22:22">
      <c r="V791" s="16"/>
    </row>
    <row r="792" spans="22:22">
      <c r="V792" s="16"/>
    </row>
    <row r="793" spans="22:22">
      <c r="V793" s="16"/>
    </row>
    <row r="794" spans="22:22">
      <c r="V794" s="16"/>
    </row>
    <row r="795" spans="22:22">
      <c r="V795" s="16"/>
    </row>
    <row r="796" spans="22:22">
      <c r="V796" s="16"/>
    </row>
    <row r="797" spans="22:22">
      <c r="V797" s="16"/>
    </row>
    <row r="798" spans="22:22">
      <c r="V798" s="16"/>
    </row>
    <row r="799" spans="22:22">
      <c r="V799" s="16"/>
    </row>
    <row r="800" spans="22:22">
      <c r="V800" s="16"/>
    </row>
    <row r="801" spans="22:22">
      <c r="V801" s="16"/>
    </row>
    <row r="802" spans="22:22">
      <c r="V802" s="16"/>
    </row>
    <row r="803" spans="22:22">
      <c r="V803" s="16"/>
    </row>
    <row r="804" spans="22:22">
      <c r="V804" s="16"/>
    </row>
    <row r="805" spans="22:22">
      <c r="V805" s="16"/>
    </row>
    <row r="806" spans="22:22">
      <c r="V806" s="16"/>
    </row>
    <row r="807" spans="22:22">
      <c r="V807" s="16"/>
    </row>
    <row r="808" spans="22:22">
      <c r="V808" s="16"/>
    </row>
    <row r="809" spans="22:22">
      <c r="V809" s="16"/>
    </row>
    <row r="810" spans="22:22">
      <c r="V810" s="16"/>
    </row>
    <row r="811" spans="22:22">
      <c r="V811" s="16"/>
    </row>
    <row r="812" spans="22:22">
      <c r="V812" s="16"/>
    </row>
    <row r="813" spans="22:22">
      <c r="V813" s="16"/>
    </row>
    <row r="814" spans="22:22">
      <c r="V814" s="16"/>
    </row>
    <row r="815" spans="22:22">
      <c r="V815" s="16"/>
    </row>
    <row r="816" spans="22:22">
      <c r="V816" s="16"/>
    </row>
    <row r="817" spans="22:22">
      <c r="V817" s="16"/>
    </row>
    <row r="818" spans="22:22">
      <c r="V818" s="16"/>
    </row>
    <row r="819" spans="22:22">
      <c r="V819" s="16"/>
    </row>
    <row r="820" spans="22:22">
      <c r="V820" s="16"/>
    </row>
    <row r="821" spans="22:22">
      <c r="V821" s="16"/>
    </row>
    <row r="822" spans="22:22">
      <c r="V822" s="16"/>
    </row>
    <row r="823" spans="22:22">
      <c r="V823" s="16"/>
    </row>
    <row r="824" spans="22:22">
      <c r="V824" s="16"/>
    </row>
    <row r="825" spans="22:22">
      <c r="V825" s="16"/>
    </row>
    <row r="826" spans="22:22">
      <c r="V826" s="16"/>
    </row>
    <row r="827" spans="22:22">
      <c r="V827" s="16"/>
    </row>
    <row r="828" spans="22:22">
      <c r="V828" s="16"/>
    </row>
    <row r="829" spans="22:22">
      <c r="V829" s="16"/>
    </row>
    <row r="830" spans="22:22">
      <c r="V830" s="16"/>
    </row>
    <row r="831" spans="22:22">
      <c r="V831" s="16"/>
    </row>
    <row r="832" spans="22:22">
      <c r="V832" s="16"/>
    </row>
    <row r="833" spans="22:22">
      <c r="V833" s="16"/>
    </row>
    <row r="834" spans="22:22">
      <c r="V834" s="16"/>
    </row>
    <row r="835" spans="22:22">
      <c r="V835" s="16"/>
    </row>
    <row r="836" spans="22:22">
      <c r="V836" s="16"/>
    </row>
    <row r="837" spans="22:22">
      <c r="V837" s="16"/>
    </row>
    <row r="838" spans="22:22">
      <c r="V838" s="16"/>
    </row>
    <row r="839" spans="22:22">
      <c r="V839" s="16"/>
    </row>
    <row r="840" spans="22:22">
      <c r="V840" s="16"/>
    </row>
    <row r="841" spans="22:22">
      <c r="V841" s="16"/>
    </row>
    <row r="842" spans="22:22">
      <c r="V842" s="16"/>
    </row>
    <row r="843" spans="22:22">
      <c r="V843" s="16"/>
    </row>
    <row r="844" spans="22:22">
      <c r="V844" s="16"/>
    </row>
    <row r="845" spans="22:22">
      <c r="V845" s="16"/>
    </row>
    <row r="846" spans="22:22">
      <c r="V846" s="16"/>
    </row>
    <row r="847" spans="22:22">
      <c r="V847" s="16"/>
    </row>
    <row r="848" spans="22:22">
      <c r="V848" s="16"/>
    </row>
    <row r="849" spans="22:22">
      <c r="V849" s="16"/>
    </row>
    <row r="850" spans="22:22">
      <c r="V850" s="16"/>
    </row>
    <row r="851" spans="22:22">
      <c r="V851" s="16"/>
    </row>
    <row r="852" spans="22:22">
      <c r="V852" s="16"/>
    </row>
    <row r="853" spans="22:22">
      <c r="V853" s="16"/>
    </row>
    <row r="854" spans="22:22">
      <c r="V854" s="16"/>
    </row>
    <row r="855" spans="22:22">
      <c r="V855" s="16"/>
    </row>
    <row r="856" spans="22:22">
      <c r="V856" s="16"/>
    </row>
    <row r="857" spans="22:22">
      <c r="V857" s="16"/>
    </row>
    <row r="858" spans="22:22">
      <c r="V858" s="16"/>
    </row>
    <row r="859" spans="22:22">
      <c r="V859" s="16"/>
    </row>
    <row r="860" spans="22:22">
      <c r="V860" s="16"/>
    </row>
    <row r="861" spans="22:22">
      <c r="V861" s="16"/>
    </row>
    <row r="862" spans="22:22">
      <c r="V862" s="16"/>
    </row>
    <row r="863" spans="22:22">
      <c r="V863" s="16"/>
    </row>
    <row r="864" spans="22:22">
      <c r="V864" s="16"/>
    </row>
    <row r="865" spans="22:22">
      <c r="V865" s="16"/>
    </row>
    <row r="866" spans="22:22">
      <c r="V866" s="16"/>
    </row>
    <row r="867" spans="22:22">
      <c r="V867" s="16"/>
    </row>
    <row r="868" spans="22:22">
      <c r="V868" s="16"/>
    </row>
    <row r="869" spans="22:22">
      <c r="V869" s="16"/>
    </row>
    <row r="870" spans="22:22">
      <c r="V870" s="16"/>
    </row>
    <row r="871" spans="22:22">
      <c r="V871" s="16"/>
    </row>
    <row r="872" spans="22:22">
      <c r="V872" s="16"/>
    </row>
    <row r="873" spans="22:22">
      <c r="V873" s="16"/>
    </row>
    <row r="874" spans="22:22">
      <c r="V874" s="16"/>
    </row>
    <row r="875" spans="22:22">
      <c r="V875" s="16"/>
    </row>
    <row r="876" spans="22:22">
      <c r="V876" s="16"/>
    </row>
    <row r="877" spans="22:22">
      <c r="V877" s="16"/>
    </row>
    <row r="878" spans="22:22">
      <c r="V878" s="16"/>
    </row>
    <row r="879" spans="22:22">
      <c r="V879" s="16"/>
    </row>
    <row r="880" spans="22:22">
      <c r="V880" s="16"/>
    </row>
    <row r="881" spans="22:22">
      <c r="V881" s="16"/>
    </row>
    <row r="882" spans="22:22">
      <c r="V882" s="16"/>
    </row>
    <row r="883" spans="22:22">
      <c r="V883" s="16"/>
    </row>
    <row r="884" spans="22:22">
      <c r="V884" s="16"/>
    </row>
    <row r="885" spans="22:22">
      <c r="V885" s="16"/>
    </row>
    <row r="886" spans="22:22">
      <c r="V886" s="16"/>
    </row>
    <row r="887" spans="22:22">
      <c r="V887" s="16"/>
    </row>
    <row r="888" spans="22:22">
      <c r="V888" s="16"/>
    </row>
    <row r="889" spans="22:22">
      <c r="V889" s="16"/>
    </row>
    <row r="890" spans="22:22">
      <c r="V890" s="16"/>
    </row>
    <row r="891" spans="22:22">
      <c r="V891" s="16"/>
    </row>
    <row r="892" spans="22:22">
      <c r="V892" s="16"/>
    </row>
    <row r="893" spans="22:22">
      <c r="V893" s="16"/>
    </row>
    <row r="894" spans="22:22">
      <c r="V894" s="16"/>
    </row>
    <row r="895" spans="22:22">
      <c r="V895" s="16"/>
    </row>
    <row r="896" spans="22:22">
      <c r="V896" s="16"/>
    </row>
    <row r="897" spans="22:22">
      <c r="V897" s="16"/>
    </row>
    <row r="898" spans="22:22">
      <c r="V898" s="16"/>
    </row>
    <row r="899" spans="22:22">
      <c r="V899" s="16"/>
    </row>
    <row r="900" spans="22:22">
      <c r="V900" s="16"/>
    </row>
    <row r="901" spans="22:22">
      <c r="V901" s="16"/>
    </row>
    <row r="902" spans="22:22">
      <c r="V902" s="16"/>
    </row>
    <row r="903" spans="22:22">
      <c r="V903" s="16"/>
    </row>
    <row r="904" spans="22:22">
      <c r="V904" s="16"/>
    </row>
    <row r="905" spans="22:22">
      <c r="V905" s="16"/>
    </row>
    <row r="906" spans="22:22">
      <c r="V906" s="16"/>
    </row>
    <row r="907" spans="22:22">
      <c r="V907" s="16"/>
    </row>
    <row r="908" spans="22:22">
      <c r="V908" s="16"/>
    </row>
    <row r="909" spans="22:22">
      <c r="V909" s="16"/>
    </row>
    <row r="910" spans="22:22">
      <c r="V910" s="16"/>
    </row>
    <row r="911" spans="22:22">
      <c r="V911" s="16"/>
    </row>
    <row r="912" spans="22:22">
      <c r="V912" s="16"/>
    </row>
    <row r="913" spans="22:22">
      <c r="V913" s="16"/>
    </row>
    <row r="914" spans="22:22">
      <c r="V914" s="16"/>
    </row>
    <row r="915" spans="22:22">
      <c r="V915" s="16"/>
    </row>
    <row r="916" spans="22:22">
      <c r="V916" s="16"/>
    </row>
    <row r="917" spans="22:22">
      <c r="V917" s="16"/>
    </row>
    <row r="918" spans="22:22">
      <c r="V918" s="16"/>
    </row>
    <row r="919" spans="22:22">
      <c r="V919" s="16"/>
    </row>
    <row r="920" spans="22:22">
      <c r="V920" s="16"/>
    </row>
    <row r="921" spans="22:22">
      <c r="V921" s="16"/>
    </row>
    <row r="922" spans="22:22">
      <c r="V922" s="16"/>
    </row>
    <row r="923" spans="22:22">
      <c r="V923" s="16"/>
    </row>
    <row r="924" spans="22:22">
      <c r="V924" s="16"/>
    </row>
    <row r="925" spans="22:22">
      <c r="V925" s="16"/>
    </row>
    <row r="926" spans="22:22">
      <c r="V926" s="16"/>
    </row>
    <row r="927" spans="22:22">
      <c r="V927" s="16"/>
    </row>
    <row r="928" spans="22:22">
      <c r="V928" s="16"/>
    </row>
    <row r="929" spans="22:22">
      <c r="V929" s="16"/>
    </row>
    <row r="930" spans="22:22">
      <c r="V930" s="16"/>
    </row>
    <row r="931" spans="22:22">
      <c r="V931" s="16"/>
    </row>
    <row r="932" spans="22:22">
      <c r="V932" s="16"/>
    </row>
    <row r="933" spans="22:22">
      <c r="V933" s="16"/>
    </row>
    <row r="934" spans="22:22">
      <c r="V934" s="16"/>
    </row>
    <row r="935" spans="22:22">
      <c r="V935" s="16"/>
    </row>
    <row r="936" spans="22:22">
      <c r="V936" s="16"/>
    </row>
    <row r="937" spans="22:22">
      <c r="V937" s="16"/>
    </row>
    <row r="938" spans="22:22">
      <c r="V938" s="16"/>
    </row>
    <row r="939" spans="22:22">
      <c r="V939" s="16"/>
    </row>
    <row r="940" spans="22:22">
      <c r="V940" s="16"/>
    </row>
    <row r="941" spans="22:22">
      <c r="V941" s="16"/>
    </row>
    <row r="942" spans="22:22">
      <c r="V942" s="16"/>
    </row>
    <row r="943" spans="22:22">
      <c r="V943" s="16"/>
    </row>
    <row r="944" spans="22:22">
      <c r="V944" s="16"/>
    </row>
    <row r="945" spans="22:22">
      <c r="V945" s="16"/>
    </row>
    <row r="946" spans="22:22">
      <c r="V946" s="16"/>
    </row>
    <row r="947" spans="22:22">
      <c r="V947" s="16"/>
    </row>
    <row r="948" spans="22:22">
      <c r="V948" s="16"/>
    </row>
    <row r="949" spans="22:22">
      <c r="V949" s="16"/>
    </row>
    <row r="950" spans="22:22">
      <c r="V950" s="16"/>
    </row>
    <row r="951" spans="22:22">
      <c r="V951" s="16"/>
    </row>
    <row r="952" spans="22:22">
      <c r="V952" s="16"/>
    </row>
    <row r="953" spans="22:22">
      <c r="V953" s="16"/>
    </row>
    <row r="954" spans="22:22">
      <c r="V954" s="16"/>
    </row>
    <row r="955" spans="22:22">
      <c r="V955" s="16"/>
    </row>
    <row r="956" spans="22:22">
      <c r="V956" s="16"/>
    </row>
    <row r="957" spans="22:22">
      <c r="V957" s="16"/>
    </row>
    <row r="958" spans="22:22">
      <c r="V958" s="16"/>
    </row>
    <row r="959" spans="22:22">
      <c r="V959" s="16"/>
    </row>
    <row r="960" spans="22:22">
      <c r="V960" s="16"/>
    </row>
    <row r="961" spans="22:22">
      <c r="V961" s="16"/>
    </row>
    <row r="962" spans="22:22">
      <c r="V962" s="16"/>
    </row>
    <row r="963" spans="22:22">
      <c r="V963" s="16"/>
    </row>
    <row r="964" spans="22:22">
      <c r="V964" s="16"/>
    </row>
    <row r="965" spans="22:22">
      <c r="V965" s="16"/>
    </row>
    <row r="966" spans="22:22">
      <c r="V966" s="16"/>
    </row>
    <row r="967" spans="22:22">
      <c r="V967" s="16"/>
    </row>
    <row r="968" spans="22:22">
      <c r="V968" s="16"/>
    </row>
    <row r="969" spans="22:22">
      <c r="V969" s="16"/>
    </row>
    <row r="970" spans="22:22">
      <c r="V970" s="16"/>
    </row>
    <row r="971" spans="22:22">
      <c r="V971" s="16"/>
    </row>
    <row r="972" spans="22:22">
      <c r="V972" s="16"/>
    </row>
    <row r="973" spans="22:22">
      <c r="V973" s="16"/>
    </row>
    <row r="974" spans="22:22">
      <c r="V974" s="16"/>
    </row>
    <row r="975" spans="22:22">
      <c r="V975" s="16"/>
    </row>
    <row r="976" spans="22:22">
      <c r="V976" s="16"/>
    </row>
    <row r="977" spans="22:22">
      <c r="V977" s="16"/>
    </row>
    <row r="978" spans="22:22">
      <c r="V978" s="16"/>
    </row>
    <row r="979" spans="22:22">
      <c r="V979" s="16"/>
    </row>
    <row r="980" spans="22:22">
      <c r="V980" s="16"/>
    </row>
    <row r="981" spans="22:22">
      <c r="V981" s="16"/>
    </row>
    <row r="982" spans="22:22">
      <c r="V982" s="16"/>
    </row>
    <row r="983" spans="22:22">
      <c r="V983" s="16"/>
    </row>
    <row r="984" spans="22:22">
      <c r="V984" s="16"/>
    </row>
    <row r="985" spans="22:22">
      <c r="V985" s="16"/>
    </row>
    <row r="986" spans="22:22">
      <c r="V986" s="16"/>
    </row>
    <row r="987" spans="22:22">
      <c r="V987" s="16"/>
    </row>
    <row r="988" spans="22:22">
      <c r="V988" s="16"/>
    </row>
    <row r="989" spans="22:22">
      <c r="V989" s="16"/>
    </row>
    <row r="990" spans="22:22">
      <c r="V990" s="16"/>
    </row>
    <row r="991" spans="22:22">
      <c r="V991" s="16"/>
    </row>
    <row r="992" spans="22:22">
      <c r="V992" s="16"/>
    </row>
    <row r="993" spans="22:22">
      <c r="V993" s="16"/>
    </row>
    <row r="994" spans="22:22">
      <c r="V994" s="16"/>
    </row>
    <row r="995" spans="22:22">
      <c r="V995" s="16"/>
    </row>
    <row r="996" spans="22:22">
      <c r="V996" s="16"/>
    </row>
    <row r="997" spans="22:22">
      <c r="V997" s="16"/>
    </row>
    <row r="998" spans="22:22">
      <c r="V998" s="16"/>
    </row>
    <row r="999" spans="22:22">
      <c r="V999" s="16"/>
    </row>
    <row r="1000" spans="22:22">
      <c r="V1000" s="16"/>
    </row>
    <row r="1001" spans="22:22">
      <c r="V1001" s="16"/>
    </row>
    <row r="1002" spans="22:22">
      <c r="V1002" s="16"/>
    </row>
    <row r="1003" spans="22:22">
      <c r="V1003" s="16"/>
    </row>
    <row r="1004" spans="22:22">
      <c r="V1004" s="16"/>
    </row>
    <row r="1005" spans="22:22">
      <c r="V1005" s="16"/>
    </row>
    <row r="1006" spans="22:22">
      <c r="V1006" s="16"/>
    </row>
    <row r="1007" spans="22:22">
      <c r="V1007" s="16"/>
    </row>
    <row r="1008" spans="22:22">
      <c r="V1008" s="16"/>
    </row>
    <row r="1009" spans="22:22">
      <c r="V1009" s="16"/>
    </row>
    <row r="1010" spans="22:22">
      <c r="V1010" s="16"/>
    </row>
    <row r="1011" spans="22:22">
      <c r="V1011" s="16"/>
    </row>
    <row r="1012" spans="22:22">
      <c r="V1012" s="16"/>
    </row>
    <row r="1013" spans="22:22">
      <c r="V1013" s="16"/>
    </row>
    <row r="1014" spans="22:22">
      <c r="V1014" s="16"/>
    </row>
    <row r="1015" spans="22:22">
      <c r="V1015" s="16"/>
    </row>
    <row r="1016" spans="22:22">
      <c r="V1016" s="16"/>
    </row>
    <row r="1017" spans="22:22">
      <c r="V1017" s="16"/>
    </row>
    <row r="1018" spans="22:22">
      <c r="V1018" s="16"/>
    </row>
    <row r="1019" spans="22:22">
      <c r="V1019" s="16"/>
    </row>
    <row r="1020" spans="22:22">
      <c r="V1020" s="16"/>
    </row>
    <row r="1021" spans="22:22">
      <c r="V1021" s="16"/>
    </row>
    <row r="1022" spans="22:22">
      <c r="V1022" s="16"/>
    </row>
    <row r="1023" spans="22:22">
      <c r="V1023" s="16"/>
    </row>
    <row r="1024" spans="22:22">
      <c r="V1024" s="16"/>
    </row>
    <row r="1025" spans="22:22">
      <c r="V1025" s="16"/>
    </row>
    <row r="1026" spans="22:22">
      <c r="V1026" s="16"/>
    </row>
    <row r="1027" spans="22:22">
      <c r="V1027" s="16"/>
    </row>
    <row r="1028" spans="22:22">
      <c r="V1028" s="16"/>
    </row>
    <row r="1029" spans="22:22">
      <c r="V1029" s="16"/>
    </row>
    <row r="1030" spans="22:22">
      <c r="V1030" s="16"/>
    </row>
    <row r="1031" spans="22:22">
      <c r="V1031" s="16"/>
    </row>
    <row r="1032" spans="22:22">
      <c r="V1032" s="16"/>
    </row>
    <row r="1033" spans="22:22">
      <c r="V1033" s="16"/>
    </row>
    <row r="1034" spans="22:22">
      <c r="V1034" s="16"/>
    </row>
    <row r="1035" spans="22:22">
      <c r="V1035" s="16"/>
    </row>
    <row r="1036" spans="22:22">
      <c r="V1036" s="16"/>
    </row>
    <row r="1037" spans="22:22">
      <c r="V1037" s="16"/>
    </row>
    <row r="1038" spans="22:22">
      <c r="V1038" s="16"/>
    </row>
    <row r="1039" spans="22:22">
      <c r="V1039" s="16"/>
    </row>
    <row r="1040" spans="22:22">
      <c r="V1040" s="16"/>
    </row>
    <row r="1041" spans="22:22">
      <c r="V1041" s="16"/>
    </row>
    <row r="1042" spans="22:22">
      <c r="V1042" s="16"/>
    </row>
    <row r="1043" spans="22:22">
      <c r="V1043" s="16"/>
    </row>
    <row r="1044" spans="22:22">
      <c r="V1044" s="16"/>
    </row>
    <row r="1045" spans="22:22">
      <c r="V1045" s="16"/>
    </row>
    <row r="1046" spans="22:22">
      <c r="V1046" s="16"/>
    </row>
    <row r="1047" spans="22:22">
      <c r="V1047" s="16"/>
    </row>
    <row r="1048" spans="22:22">
      <c r="V1048" s="16"/>
    </row>
    <row r="1049" spans="22:22">
      <c r="V1049" s="16"/>
    </row>
    <row r="1050" spans="22:22">
      <c r="V1050" s="16"/>
    </row>
    <row r="1051" spans="22:22">
      <c r="V1051" s="16"/>
    </row>
    <row r="1052" spans="22:22">
      <c r="V1052" s="16"/>
    </row>
    <row r="1053" spans="22:22">
      <c r="V1053" s="16"/>
    </row>
    <row r="1054" spans="22:22">
      <c r="V1054" s="16"/>
    </row>
    <row r="1055" spans="22:22">
      <c r="V1055" s="16"/>
    </row>
    <row r="1056" spans="22:22">
      <c r="V1056" s="16"/>
    </row>
    <row r="1057" spans="22:22">
      <c r="V1057" s="16"/>
    </row>
    <row r="1058" spans="22:22">
      <c r="V1058" s="16"/>
    </row>
    <row r="1059" spans="22:22">
      <c r="V1059" s="16"/>
    </row>
    <row r="1060" spans="22:22">
      <c r="V1060" s="16"/>
    </row>
    <row r="1061" spans="22:22">
      <c r="V1061" s="16"/>
    </row>
    <row r="1062" spans="22:22">
      <c r="V1062" s="16"/>
    </row>
    <row r="1063" spans="22:22">
      <c r="V1063" s="16"/>
    </row>
    <row r="1064" spans="22:22">
      <c r="V1064" s="16"/>
    </row>
    <row r="1065" spans="22:22">
      <c r="V1065" s="16"/>
    </row>
    <row r="1066" spans="22:22">
      <c r="V1066" s="16"/>
    </row>
    <row r="1067" spans="22:22">
      <c r="V1067" s="16"/>
    </row>
    <row r="1068" spans="22:22">
      <c r="V1068" s="16"/>
    </row>
    <row r="1069" spans="22:22">
      <c r="V1069" s="16"/>
    </row>
    <row r="1070" spans="22:22">
      <c r="V1070" s="16"/>
    </row>
    <row r="1071" spans="22:22">
      <c r="V1071" s="16"/>
    </row>
    <row r="1072" spans="22:22">
      <c r="V1072" s="16"/>
    </row>
    <row r="1073" spans="22:22">
      <c r="V1073" s="16"/>
    </row>
    <row r="1074" spans="22:22">
      <c r="V1074" s="16"/>
    </row>
    <row r="1075" spans="22:22">
      <c r="V1075" s="16"/>
    </row>
    <row r="1076" spans="22:22">
      <c r="V1076" s="16"/>
    </row>
    <row r="1077" spans="22:22">
      <c r="V1077" s="16"/>
    </row>
    <row r="1078" spans="22:22">
      <c r="V1078" s="16"/>
    </row>
    <row r="1079" spans="22:22">
      <c r="V1079" s="16"/>
    </row>
    <row r="1080" spans="22:22">
      <c r="V1080" s="16"/>
    </row>
    <row r="1081" spans="22:22">
      <c r="V1081" s="16"/>
    </row>
    <row r="1082" spans="22:22">
      <c r="V1082" s="16"/>
    </row>
    <row r="1083" spans="22:22">
      <c r="V1083" s="16"/>
    </row>
    <row r="1084" spans="22:22">
      <c r="V1084" s="16"/>
    </row>
    <row r="1085" spans="22:22">
      <c r="V1085" s="16"/>
    </row>
    <row r="1086" spans="22:22">
      <c r="V1086" s="16"/>
    </row>
    <row r="1087" spans="22:22">
      <c r="V1087" s="16"/>
    </row>
    <row r="1088" spans="22:22">
      <c r="V1088" s="16"/>
    </row>
    <row r="1089" spans="22:22">
      <c r="V1089" s="16"/>
    </row>
    <row r="1090" spans="22:22">
      <c r="V1090" s="16"/>
    </row>
    <row r="1091" spans="22:22">
      <c r="V1091" s="16"/>
    </row>
    <row r="1092" spans="22:22">
      <c r="V1092" s="16"/>
    </row>
    <row r="1093" spans="22:22">
      <c r="V1093" s="16"/>
    </row>
    <row r="1094" spans="22:22">
      <c r="V1094" s="16"/>
    </row>
    <row r="1095" spans="22:22">
      <c r="V1095" s="16"/>
    </row>
    <row r="1096" spans="22:22">
      <c r="V1096" s="16"/>
    </row>
    <row r="1097" spans="22:22">
      <c r="V1097" s="16"/>
    </row>
    <row r="1098" spans="22:22">
      <c r="V1098" s="16"/>
    </row>
    <row r="1099" spans="22:22">
      <c r="V1099" s="16"/>
    </row>
    <row r="1100" spans="22:22">
      <c r="V1100" s="16"/>
    </row>
    <row r="1101" spans="22:22">
      <c r="V1101" s="16"/>
    </row>
    <row r="1102" spans="22:22">
      <c r="V1102" s="16"/>
    </row>
    <row r="1103" spans="22:22">
      <c r="V1103" s="16"/>
    </row>
    <row r="1104" spans="22:22">
      <c r="V1104" s="16"/>
    </row>
    <row r="1105" spans="22:22">
      <c r="V1105" s="16"/>
    </row>
    <row r="1106" spans="22:22">
      <c r="V1106" s="16"/>
    </row>
    <row r="1107" spans="22:22">
      <c r="V1107" s="16"/>
    </row>
    <row r="1108" spans="22:22">
      <c r="V1108" s="16"/>
    </row>
    <row r="1109" spans="22:22">
      <c r="V1109" s="16"/>
    </row>
    <row r="1110" spans="22:22">
      <c r="V1110" s="16"/>
    </row>
    <row r="1111" spans="22:22">
      <c r="V1111" s="16"/>
    </row>
    <row r="1112" spans="22:22">
      <c r="V1112" s="16"/>
    </row>
    <row r="1113" spans="22:22">
      <c r="V1113" s="16"/>
    </row>
    <row r="1114" spans="22:22">
      <c r="V1114" s="16"/>
    </row>
    <row r="1115" spans="22:22">
      <c r="V1115" s="16"/>
    </row>
    <row r="1116" spans="22:22">
      <c r="V1116" s="16"/>
    </row>
    <row r="1117" spans="22:22">
      <c r="V1117" s="16"/>
    </row>
    <row r="1118" spans="22:22">
      <c r="V1118" s="16"/>
    </row>
    <row r="1119" spans="22:22">
      <c r="V1119" s="16"/>
    </row>
    <row r="1120" spans="22:22">
      <c r="V1120" s="16"/>
    </row>
    <row r="1121" spans="22:22">
      <c r="V1121" s="16"/>
    </row>
    <row r="1122" spans="22:22">
      <c r="V1122" s="16"/>
    </row>
    <row r="1123" spans="22:22">
      <c r="V1123" s="16"/>
    </row>
    <row r="1124" spans="22:22">
      <c r="V1124" s="16"/>
    </row>
    <row r="1125" spans="22:22">
      <c r="V1125" s="16"/>
    </row>
    <row r="1126" spans="22:22">
      <c r="V1126" s="16"/>
    </row>
    <row r="1127" spans="22:22">
      <c r="V1127" s="16"/>
    </row>
    <row r="1128" spans="22:22">
      <c r="V1128" s="16"/>
    </row>
    <row r="1129" spans="22:22">
      <c r="V1129" s="16"/>
    </row>
    <row r="1130" spans="22:22">
      <c r="V1130" s="16"/>
    </row>
    <row r="1131" spans="22:22">
      <c r="V1131" s="16"/>
    </row>
    <row r="1132" spans="22:22">
      <c r="V1132" s="16"/>
    </row>
    <row r="1133" spans="22:22">
      <c r="V1133" s="16"/>
    </row>
    <row r="1134" spans="22:22">
      <c r="V1134" s="16"/>
    </row>
    <row r="1135" spans="22:22">
      <c r="V1135" s="16"/>
    </row>
    <row r="1136" spans="22:22">
      <c r="V1136" s="16"/>
    </row>
    <row r="1137" spans="22:22">
      <c r="V1137" s="16"/>
    </row>
    <row r="1138" spans="22:22">
      <c r="V1138" s="16"/>
    </row>
    <row r="1139" spans="22:22">
      <c r="V1139" s="16"/>
    </row>
    <row r="1140" spans="22:22">
      <c r="V1140" s="16"/>
    </row>
    <row r="1141" spans="22:22">
      <c r="V1141" s="16"/>
    </row>
    <row r="1142" spans="22:22">
      <c r="V1142" s="16"/>
    </row>
    <row r="1143" spans="22:22">
      <c r="V1143" s="16"/>
    </row>
    <row r="1144" spans="22:22">
      <c r="V1144" s="16"/>
    </row>
    <row r="1145" spans="22:22">
      <c r="V1145" s="16"/>
    </row>
    <row r="1146" spans="22:22">
      <c r="V1146" s="16"/>
    </row>
    <row r="1147" spans="22:22">
      <c r="V1147" s="16"/>
    </row>
    <row r="1148" spans="22:22">
      <c r="V1148" s="16"/>
    </row>
    <row r="1149" spans="22:22">
      <c r="V1149" s="16"/>
    </row>
    <row r="1150" spans="22:22">
      <c r="V1150" s="16"/>
    </row>
    <row r="1151" spans="22:22">
      <c r="V1151" s="16"/>
    </row>
    <row r="1152" spans="22:22">
      <c r="V1152" s="16"/>
    </row>
    <row r="1153" spans="22:22">
      <c r="V1153" s="16"/>
    </row>
    <row r="1154" spans="22:22">
      <c r="V1154" s="16"/>
    </row>
    <row r="1155" spans="22:22">
      <c r="V1155" s="16"/>
    </row>
    <row r="1156" spans="22:22">
      <c r="V1156" s="16"/>
    </row>
    <row r="1157" spans="22:22">
      <c r="V1157" s="16"/>
    </row>
    <row r="1158" spans="22:22">
      <c r="V1158" s="16"/>
    </row>
    <row r="1159" spans="22:22">
      <c r="V1159" s="16"/>
    </row>
    <row r="1160" spans="22:22">
      <c r="V1160" s="16"/>
    </row>
    <row r="1161" spans="22:22">
      <c r="V1161" s="16"/>
    </row>
    <row r="1162" spans="22:22">
      <c r="V1162" s="16"/>
    </row>
    <row r="1163" spans="22:22">
      <c r="V1163" s="16"/>
    </row>
    <row r="1164" spans="22:22">
      <c r="V1164" s="16"/>
    </row>
    <row r="1165" spans="22:22">
      <c r="V1165" s="16"/>
    </row>
    <row r="1166" spans="22:22">
      <c r="V1166" s="16"/>
    </row>
    <row r="1167" spans="22:22">
      <c r="V1167" s="16"/>
    </row>
    <row r="1168" spans="22:22">
      <c r="V1168" s="16"/>
    </row>
    <row r="1169" spans="22:22">
      <c r="V1169" s="16"/>
    </row>
    <row r="1170" spans="22:22">
      <c r="V1170" s="16"/>
    </row>
    <row r="1171" spans="22:22">
      <c r="V1171" s="16"/>
    </row>
    <row r="1172" spans="22:22">
      <c r="V1172" s="16"/>
    </row>
    <row r="1173" spans="22:22">
      <c r="V1173" s="16"/>
    </row>
    <row r="1174" spans="22:22">
      <c r="V1174" s="16"/>
    </row>
    <row r="1175" spans="22:22">
      <c r="V1175" s="16"/>
    </row>
    <row r="1176" spans="22:22">
      <c r="V1176" s="16"/>
    </row>
    <row r="1177" spans="22:22">
      <c r="V1177" s="16"/>
    </row>
    <row r="1178" spans="22:22">
      <c r="V1178" s="16"/>
    </row>
    <row r="1179" spans="22:22">
      <c r="V1179" s="16"/>
    </row>
    <row r="1180" spans="22:22">
      <c r="V1180" s="16"/>
    </row>
    <row r="1181" spans="22:22">
      <c r="V1181" s="16"/>
    </row>
    <row r="1182" spans="22:22">
      <c r="V1182" s="16"/>
    </row>
    <row r="1183" spans="22:22">
      <c r="V1183" s="16"/>
    </row>
    <row r="1184" spans="22:22">
      <c r="V1184" s="16"/>
    </row>
    <row r="1185" spans="22:22">
      <c r="V1185" s="16"/>
    </row>
    <row r="1186" spans="22:22">
      <c r="V1186" s="16"/>
    </row>
    <row r="1187" spans="22:22">
      <c r="V1187" s="16"/>
    </row>
    <row r="1188" spans="22:22">
      <c r="V1188" s="16"/>
    </row>
    <row r="1189" spans="22:22">
      <c r="V1189" s="16"/>
    </row>
    <row r="1190" spans="22:22">
      <c r="V1190" s="16"/>
    </row>
    <row r="1191" spans="22:22">
      <c r="V1191" s="16"/>
    </row>
    <row r="1192" spans="22:22">
      <c r="V1192" s="16"/>
    </row>
    <row r="1193" spans="22:22">
      <c r="V1193" s="16"/>
    </row>
    <row r="1194" spans="22:22">
      <c r="V1194" s="16"/>
    </row>
    <row r="1195" spans="22:22">
      <c r="V1195" s="16"/>
    </row>
    <row r="1196" spans="22:22">
      <c r="V1196" s="16"/>
    </row>
    <row r="1197" spans="22:22">
      <c r="V1197" s="16"/>
    </row>
    <row r="1198" spans="22:22">
      <c r="V1198" s="16"/>
    </row>
    <row r="1199" spans="22:22">
      <c r="V1199" s="16"/>
    </row>
    <row r="1200" spans="22:22">
      <c r="V1200" s="16"/>
    </row>
    <row r="1201" spans="22:22">
      <c r="V1201" s="16"/>
    </row>
    <row r="1202" spans="22:22">
      <c r="V1202" s="16"/>
    </row>
    <row r="1203" spans="22:22">
      <c r="V1203" s="16"/>
    </row>
    <row r="1204" spans="22:22">
      <c r="V1204" s="16"/>
    </row>
    <row r="1205" spans="22:22">
      <c r="V1205" s="16"/>
    </row>
    <row r="1206" spans="22:22">
      <c r="V1206" s="16"/>
    </row>
    <row r="1207" spans="22:22">
      <c r="V1207" s="16"/>
    </row>
    <row r="1208" spans="22:22">
      <c r="V1208" s="16"/>
    </row>
    <row r="1209" spans="22:22">
      <c r="V1209" s="16"/>
    </row>
    <row r="1210" spans="22:22">
      <c r="V1210" s="16"/>
    </row>
    <row r="1211" spans="22:22">
      <c r="V1211" s="16"/>
    </row>
    <row r="1212" spans="22:22">
      <c r="V1212" s="16"/>
    </row>
    <row r="1213" spans="22:22">
      <c r="V1213" s="16"/>
    </row>
    <row r="1214" spans="22:22">
      <c r="V1214" s="16"/>
    </row>
    <row r="1215" spans="22:22">
      <c r="V1215" s="16"/>
    </row>
    <row r="1216" spans="22:22">
      <c r="V1216" s="16"/>
    </row>
    <row r="1217" spans="22:22">
      <c r="V1217" s="16"/>
    </row>
    <row r="1218" spans="22:22">
      <c r="V1218" s="16"/>
    </row>
    <row r="1219" spans="22:22">
      <c r="V1219" s="16"/>
    </row>
    <row r="1220" spans="22:22">
      <c r="V1220" s="16"/>
    </row>
    <row r="1221" spans="22:22">
      <c r="V1221" s="16"/>
    </row>
    <row r="1222" spans="22:22">
      <c r="V1222" s="16"/>
    </row>
    <row r="1223" spans="22:22">
      <c r="V1223" s="16"/>
    </row>
    <row r="1224" spans="22:22">
      <c r="V1224" s="16"/>
    </row>
    <row r="1225" spans="22:22">
      <c r="V1225" s="16"/>
    </row>
    <row r="1226" spans="22:22">
      <c r="V1226" s="16"/>
    </row>
    <row r="1227" spans="22:22">
      <c r="V1227" s="16"/>
    </row>
    <row r="1228" spans="22:22">
      <c r="V1228" s="16"/>
    </row>
    <row r="1229" spans="22:22">
      <c r="V1229" s="16"/>
    </row>
    <row r="1230" spans="22:22">
      <c r="V1230" s="16"/>
    </row>
    <row r="1231" spans="22:22">
      <c r="V1231" s="16"/>
    </row>
    <row r="1232" spans="22:22">
      <c r="V1232" s="16"/>
    </row>
    <row r="1233" spans="22:22">
      <c r="V1233" s="16"/>
    </row>
    <row r="1234" spans="22:22">
      <c r="V1234" s="16"/>
    </row>
    <row r="1235" spans="22:22">
      <c r="V1235" s="16"/>
    </row>
    <row r="1236" spans="22:22">
      <c r="V1236" s="16"/>
    </row>
    <row r="1237" spans="22:22">
      <c r="V1237" s="16"/>
    </row>
    <row r="1238" spans="22:22">
      <c r="V1238" s="16"/>
    </row>
    <row r="1239" spans="22:22">
      <c r="V1239" s="16"/>
    </row>
    <row r="1240" spans="22:22">
      <c r="V1240" s="16"/>
    </row>
    <row r="1241" spans="22:22">
      <c r="V1241" s="16"/>
    </row>
    <row r="1242" spans="22:22">
      <c r="V1242" s="16"/>
    </row>
    <row r="1243" spans="22:22">
      <c r="V1243" s="16"/>
    </row>
    <row r="1244" spans="22:22">
      <c r="V1244" s="16"/>
    </row>
    <row r="1245" spans="22:22">
      <c r="V1245" s="16"/>
    </row>
    <row r="1246" spans="22:22">
      <c r="V1246" s="16"/>
    </row>
    <row r="1247" spans="22:22">
      <c r="V1247" s="16"/>
    </row>
    <row r="1248" spans="22:22">
      <c r="V1248" s="16"/>
    </row>
    <row r="1249" spans="22:22">
      <c r="V1249" s="16"/>
    </row>
    <row r="1250" spans="22:22">
      <c r="V1250" s="16"/>
    </row>
    <row r="1251" spans="22:22">
      <c r="V1251" s="16"/>
    </row>
    <row r="1252" spans="22:22">
      <c r="V1252" s="16"/>
    </row>
    <row r="1253" spans="22:22">
      <c r="V1253" s="16"/>
    </row>
    <row r="1254" spans="22:22">
      <c r="V1254" s="16"/>
    </row>
    <row r="1255" spans="22:22">
      <c r="V1255" s="16"/>
    </row>
    <row r="1256" spans="22:22">
      <c r="V1256" s="16"/>
    </row>
    <row r="1257" spans="22:22">
      <c r="V1257" s="16"/>
    </row>
    <row r="1258" spans="22:22">
      <c r="V1258" s="16"/>
    </row>
    <row r="1259" spans="22:22">
      <c r="V1259" s="16"/>
    </row>
    <row r="1260" spans="22:22">
      <c r="V1260" s="16"/>
    </row>
    <row r="1261" spans="22:22">
      <c r="V1261" s="16"/>
    </row>
    <row r="1262" spans="22:22">
      <c r="V1262" s="16"/>
    </row>
    <row r="1263" spans="22:22">
      <c r="V1263" s="16"/>
    </row>
    <row r="1264" spans="22:22">
      <c r="V1264" s="16"/>
    </row>
    <row r="1265" spans="22:22">
      <c r="V1265" s="16"/>
    </row>
    <row r="1266" spans="22:22">
      <c r="V1266" s="16"/>
    </row>
    <row r="1267" spans="22:22">
      <c r="V1267" s="16"/>
    </row>
    <row r="1268" spans="22:22">
      <c r="V1268" s="16"/>
    </row>
    <row r="1269" spans="22:22">
      <c r="V1269" s="16"/>
    </row>
    <row r="1270" spans="22:22">
      <c r="V1270" s="16"/>
    </row>
    <row r="1271" spans="22:22">
      <c r="V1271" s="16"/>
    </row>
    <row r="1272" spans="22:22">
      <c r="V1272" s="16"/>
    </row>
    <row r="1273" spans="22:22">
      <c r="V1273" s="16"/>
    </row>
    <row r="1274" spans="22:22">
      <c r="V1274" s="16"/>
    </row>
    <row r="1275" spans="22:22">
      <c r="V1275" s="16"/>
    </row>
    <row r="1276" spans="22:22">
      <c r="V1276" s="16"/>
    </row>
    <row r="1277" spans="22:22">
      <c r="V1277" s="16"/>
    </row>
    <row r="1278" spans="22:22">
      <c r="V1278" s="16"/>
    </row>
    <row r="1279" spans="22:22">
      <c r="V1279" s="16"/>
    </row>
    <row r="1280" spans="22:22">
      <c r="V1280" s="16"/>
    </row>
    <row r="1281" spans="22:22">
      <c r="V1281" s="16"/>
    </row>
    <row r="1282" spans="22:22">
      <c r="V1282" s="16"/>
    </row>
    <row r="1283" spans="22:22">
      <c r="V1283" s="16"/>
    </row>
    <row r="1284" spans="22:22">
      <c r="V1284" s="16"/>
    </row>
    <row r="1285" spans="22:22">
      <c r="V1285" s="16"/>
    </row>
    <row r="1286" spans="22:22">
      <c r="V1286" s="16"/>
    </row>
    <row r="1287" spans="22:22">
      <c r="V1287" s="16"/>
    </row>
    <row r="1288" spans="22:22">
      <c r="V1288" s="16"/>
    </row>
    <row r="1289" spans="22:22">
      <c r="V1289" s="16"/>
    </row>
    <row r="1290" spans="22:22">
      <c r="V1290" s="16"/>
    </row>
    <row r="1291" spans="22:22">
      <c r="V1291" s="16"/>
    </row>
    <row r="1292" spans="22:22">
      <c r="V1292" s="16"/>
    </row>
    <row r="1293" spans="22:22">
      <c r="V1293" s="16"/>
    </row>
    <row r="1294" spans="22:22">
      <c r="V1294" s="16"/>
    </row>
    <row r="1295" spans="22:22">
      <c r="V1295" s="16"/>
    </row>
    <row r="1296" spans="22:22">
      <c r="V1296" s="16"/>
    </row>
    <row r="1297" spans="22:22">
      <c r="V1297" s="16"/>
    </row>
    <row r="1298" spans="22:22">
      <c r="V1298" s="16"/>
    </row>
    <row r="1299" spans="22:22">
      <c r="V1299" s="16"/>
    </row>
    <row r="1300" spans="22:22">
      <c r="V1300" s="16"/>
    </row>
    <row r="1301" spans="22:22">
      <c r="V1301" s="16"/>
    </row>
    <row r="1302" spans="22:22">
      <c r="V1302" s="16"/>
    </row>
    <row r="1303" spans="22:22">
      <c r="V1303" s="16"/>
    </row>
    <row r="1304" spans="22:22">
      <c r="V1304" s="16"/>
    </row>
    <row r="1305" spans="22:22">
      <c r="V1305" s="16"/>
    </row>
    <row r="1306" spans="22:22">
      <c r="V1306" s="16"/>
    </row>
    <row r="1307" spans="22:22">
      <c r="V1307" s="16"/>
    </row>
    <row r="1308" spans="22:22">
      <c r="V1308" s="16"/>
    </row>
    <row r="1309" spans="22:22">
      <c r="V1309" s="16"/>
    </row>
    <row r="1310" spans="22:22">
      <c r="V1310" s="16"/>
    </row>
    <row r="1311" spans="22:22">
      <c r="V1311" s="16"/>
    </row>
    <row r="1312" spans="22:22">
      <c r="V1312" s="16"/>
    </row>
    <row r="1313" spans="22:22">
      <c r="V1313" s="16"/>
    </row>
    <row r="1314" spans="22:22">
      <c r="V1314" s="16"/>
    </row>
    <row r="1315" spans="22:22">
      <c r="V1315" s="16"/>
    </row>
    <row r="1316" spans="22:22">
      <c r="V1316" s="16"/>
    </row>
    <row r="1317" spans="22:22">
      <c r="V1317" s="16"/>
    </row>
    <row r="1318" spans="22:22">
      <c r="V1318" s="16"/>
    </row>
    <row r="1319" spans="22:22">
      <c r="V1319" s="16"/>
    </row>
    <row r="1320" spans="22:22">
      <c r="V1320" s="16"/>
    </row>
    <row r="1321" spans="22:22">
      <c r="V1321" s="16"/>
    </row>
    <row r="1322" spans="22:22">
      <c r="V1322" s="16"/>
    </row>
    <row r="1323" spans="22:22">
      <c r="V1323" s="16"/>
    </row>
    <row r="1324" spans="22:22">
      <c r="V1324" s="16"/>
    </row>
    <row r="1325" spans="22:22">
      <c r="V1325" s="16"/>
    </row>
    <row r="1326" spans="22:22">
      <c r="V1326" s="16"/>
    </row>
    <row r="1327" spans="22:22">
      <c r="V1327" s="16"/>
    </row>
    <row r="1328" spans="22:22">
      <c r="V1328" s="16"/>
    </row>
    <row r="1329" spans="22:22">
      <c r="V1329" s="16"/>
    </row>
    <row r="1330" spans="22:22">
      <c r="V1330" s="16"/>
    </row>
    <row r="1331" spans="22:22">
      <c r="V1331" s="16"/>
    </row>
    <row r="1332" spans="22:22">
      <c r="V1332" s="16"/>
    </row>
    <row r="1333" spans="22:22">
      <c r="V1333" s="16"/>
    </row>
    <row r="1334" spans="22:22">
      <c r="V1334" s="16"/>
    </row>
    <row r="1335" spans="22:22">
      <c r="V1335" s="16"/>
    </row>
    <row r="1336" spans="22:22">
      <c r="V1336" s="16"/>
    </row>
    <row r="1337" spans="22:22">
      <c r="V1337" s="16"/>
    </row>
    <row r="1338" spans="22:22">
      <c r="V1338" s="16"/>
    </row>
    <row r="1339" spans="22:22">
      <c r="V1339" s="16"/>
    </row>
    <row r="1340" spans="22:22">
      <c r="V1340" s="16"/>
    </row>
    <row r="1341" spans="22:22">
      <c r="V1341" s="16"/>
    </row>
    <row r="1342" spans="22:22">
      <c r="V1342" s="16"/>
    </row>
    <row r="1343" spans="22:22">
      <c r="V1343" s="16"/>
    </row>
    <row r="1344" spans="22:22">
      <c r="V1344" s="16"/>
    </row>
    <row r="1345" spans="22:22">
      <c r="V1345" s="16"/>
    </row>
    <row r="1346" spans="22:22">
      <c r="V1346" s="16"/>
    </row>
    <row r="1347" spans="22:22">
      <c r="V1347" s="16"/>
    </row>
    <row r="1348" spans="22:22">
      <c r="V1348" s="16"/>
    </row>
    <row r="1349" spans="22:22">
      <c r="V1349" s="16"/>
    </row>
    <row r="1350" spans="22:22">
      <c r="V1350" s="16"/>
    </row>
    <row r="1351" spans="22:22">
      <c r="V1351" s="16"/>
    </row>
    <row r="1352" spans="22:22">
      <c r="V1352" s="16"/>
    </row>
    <row r="1353" spans="22:22">
      <c r="V1353" s="16"/>
    </row>
    <row r="1354" spans="22:22">
      <c r="V1354" s="16"/>
    </row>
    <row r="1355" spans="22:22">
      <c r="V1355" s="16"/>
    </row>
    <row r="1356" spans="22:22">
      <c r="V1356" s="16"/>
    </row>
    <row r="1357" spans="22:22">
      <c r="V1357" s="16"/>
    </row>
    <row r="1358" spans="22:22">
      <c r="V1358" s="16"/>
    </row>
    <row r="1359" spans="22:22">
      <c r="V1359" s="16"/>
    </row>
    <row r="1360" spans="22:22">
      <c r="V1360" s="16"/>
    </row>
    <row r="1361" spans="22:22">
      <c r="V1361" s="16"/>
    </row>
    <row r="1362" spans="22:22">
      <c r="V1362" s="16"/>
    </row>
    <row r="1363" spans="22:22">
      <c r="V1363" s="16"/>
    </row>
    <row r="1364" spans="22:22">
      <c r="V1364" s="16"/>
    </row>
    <row r="1365" spans="22:22">
      <c r="V1365" s="16"/>
    </row>
    <row r="1366" spans="22:22">
      <c r="V1366" s="16"/>
    </row>
    <row r="1367" spans="22:22">
      <c r="V1367" s="16"/>
    </row>
    <row r="1368" spans="22:22">
      <c r="V1368" s="16"/>
    </row>
    <row r="1369" spans="22:22">
      <c r="V1369" s="16"/>
    </row>
    <row r="1370" spans="22:22">
      <c r="V1370" s="16"/>
    </row>
    <row r="1371" spans="22:22">
      <c r="V1371" s="16"/>
    </row>
    <row r="1372" spans="22:22">
      <c r="V1372" s="16"/>
    </row>
    <row r="1373" spans="22:22">
      <c r="V1373" s="16"/>
    </row>
    <row r="1374" spans="22:22">
      <c r="V1374" s="16"/>
    </row>
    <row r="1375" spans="22:22">
      <c r="V1375" s="16"/>
    </row>
    <row r="1376" spans="22:22">
      <c r="V1376" s="16"/>
    </row>
    <row r="1377" spans="22:22">
      <c r="V1377" s="16"/>
    </row>
    <row r="1378" spans="22:22">
      <c r="V1378" s="16"/>
    </row>
    <row r="1379" spans="22:22">
      <c r="V1379" s="16"/>
    </row>
    <row r="1380" spans="22:22">
      <c r="V1380" s="16"/>
    </row>
    <row r="1381" spans="22:22">
      <c r="V1381" s="16"/>
    </row>
    <row r="1382" spans="22:22">
      <c r="V1382" s="16"/>
    </row>
    <row r="1383" spans="22:22">
      <c r="V1383" s="16"/>
    </row>
    <row r="1384" spans="22:22">
      <c r="V1384" s="16"/>
    </row>
    <row r="1385" spans="22:22">
      <c r="V1385" s="16"/>
    </row>
    <row r="1386" spans="22:22">
      <c r="V1386" s="16"/>
    </row>
    <row r="1387" spans="22:22">
      <c r="V1387" s="16"/>
    </row>
    <row r="1388" spans="22:22">
      <c r="V1388" s="16"/>
    </row>
    <row r="1389" spans="22:22">
      <c r="V1389" s="16"/>
    </row>
    <row r="1390" spans="22:22">
      <c r="V1390" s="16"/>
    </row>
    <row r="1391" spans="22:22">
      <c r="V1391" s="16"/>
    </row>
    <row r="1392" spans="22:22">
      <c r="V1392" s="16"/>
    </row>
    <row r="1393" spans="22:22">
      <c r="V1393" s="16"/>
    </row>
    <row r="1394" spans="22:22">
      <c r="V1394" s="16"/>
    </row>
    <row r="1395" spans="22:22">
      <c r="V1395" s="16"/>
    </row>
    <row r="1396" spans="22:22">
      <c r="V1396" s="16"/>
    </row>
    <row r="1397" spans="22:22">
      <c r="V1397" s="16"/>
    </row>
    <row r="1398" spans="22:22">
      <c r="V1398" s="16"/>
    </row>
    <row r="1399" spans="22:22">
      <c r="V1399" s="16"/>
    </row>
    <row r="1400" spans="22:22">
      <c r="V1400" s="16"/>
    </row>
    <row r="1401" spans="22:22">
      <c r="V1401" s="16"/>
    </row>
    <row r="1402" spans="22:22">
      <c r="V1402" s="16"/>
    </row>
    <row r="1403" spans="22:22">
      <c r="V1403" s="16"/>
    </row>
    <row r="1404" spans="22:22">
      <c r="V1404" s="16"/>
    </row>
    <row r="1405" spans="22:22">
      <c r="V1405" s="16"/>
    </row>
    <row r="1406" spans="22:22">
      <c r="V1406" s="16"/>
    </row>
    <row r="1407" spans="22:22">
      <c r="V1407" s="16"/>
    </row>
    <row r="1408" spans="22:22">
      <c r="V1408" s="16"/>
    </row>
    <row r="1409" spans="22:22">
      <c r="V1409" s="16"/>
    </row>
    <row r="1410" spans="22:22">
      <c r="V1410" s="16"/>
    </row>
    <row r="1411" spans="22:22">
      <c r="V1411" s="16"/>
    </row>
    <row r="1412" spans="22:22">
      <c r="V1412" s="16"/>
    </row>
    <row r="1413" spans="22:22">
      <c r="V1413" s="16"/>
    </row>
    <row r="1414" spans="22:22">
      <c r="V1414" s="16"/>
    </row>
    <row r="1415" spans="22:22">
      <c r="V1415" s="16"/>
    </row>
    <row r="1416" spans="22:22">
      <c r="V1416" s="16"/>
    </row>
    <row r="1417" spans="22:22">
      <c r="V1417" s="16"/>
    </row>
    <row r="1418" spans="22:22">
      <c r="V1418" s="16"/>
    </row>
    <row r="1419" spans="22:22">
      <c r="V1419" s="16"/>
    </row>
    <row r="1420" spans="22:22">
      <c r="V1420" s="16"/>
    </row>
    <row r="1421" spans="22:22">
      <c r="V1421" s="16"/>
    </row>
    <row r="1422" spans="22:22">
      <c r="V1422" s="16"/>
    </row>
    <row r="1423" spans="22:22">
      <c r="V1423" s="16"/>
    </row>
    <row r="1424" spans="22:22">
      <c r="V1424" s="16"/>
    </row>
    <row r="1425" spans="22:22">
      <c r="V1425" s="16"/>
    </row>
    <row r="1426" spans="22:22">
      <c r="V1426" s="16"/>
    </row>
    <row r="1427" spans="22:22">
      <c r="V1427" s="16"/>
    </row>
    <row r="1428" spans="22:22">
      <c r="V1428" s="16"/>
    </row>
    <row r="1429" spans="22:22">
      <c r="V1429" s="16"/>
    </row>
    <row r="1430" spans="22:22">
      <c r="V1430" s="16"/>
    </row>
    <row r="1431" spans="22:22">
      <c r="V1431" s="16"/>
    </row>
    <row r="1432" spans="22:22">
      <c r="V1432" s="16"/>
    </row>
    <row r="1433" spans="22:22">
      <c r="V1433" s="16"/>
    </row>
    <row r="1434" spans="22:22">
      <c r="V1434" s="16"/>
    </row>
    <row r="1435" spans="22:22">
      <c r="V1435" s="16"/>
    </row>
    <row r="1436" spans="22:22">
      <c r="V1436" s="16"/>
    </row>
    <row r="1437" spans="22:22">
      <c r="V1437" s="16"/>
    </row>
    <row r="1438" spans="22:22">
      <c r="V1438" s="16"/>
    </row>
    <row r="1439" spans="22:22">
      <c r="V1439" s="16"/>
    </row>
    <row r="1440" spans="22:22">
      <c r="V1440" s="16"/>
    </row>
    <row r="1441" spans="22:22">
      <c r="V1441" s="16"/>
    </row>
    <row r="1442" spans="22:22">
      <c r="V1442" s="16"/>
    </row>
    <row r="1443" spans="22:22">
      <c r="V1443" s="16"/>
    </row>
    <row r="1444" spans="22:22">
      <c r="V1444" s="16"/>
    </row>
    <row r="1445" spans="22:22">
      <c r="V1445" s="16"/>
    </row>
    <row r="1446" spans="22:22">
      <c r="V1446" s="16"/>
    </row>
    <row r="1447" spans="22:22">
      <c r="V1447" s="16"/>
    </row>
    <row r="1448" spans="22:22">
      <c r="V1448" s="16"/>
    </row>
    <row r="1449" spans="22:22">
      <c r="V1449" s="16"/>
    </row>
    <row r="1450" spans="22:22">
      <c r="V1450" s="16"/>
    </row>
    <row r="1451" spans="22:22">
      <c r="V1451" s="16"/>
    </row>
    <row r="1452" spans="22:22">
      <c r="V1452" s="16"/>
    </row>
    <row r="1453" spans="22:22">
      <c r="V1453" s="16"/>
    </row>
    <row r="1454" spans="22:22">
      <c r="V1454" s="16"/>
    </row>
    <row r="1455" spans="22:22">
      <c r="V1455" s="16"/>
    </row>
    <row r="1456" spans="22:22">
      <c r="V1456" s="16"/>
    </row>
    <row r="1457" spans="22:22">
      <c r="V1457" s="16"/>
    </row>
    <row r="1458" spans="22:22">
      <c r="V1458" s="16"/>
    </row>
    <row r="1459" spans="22:22">
      <c r="V1459" s="16"/>
    </row>
    <row r="1460" spans="22:22">
      <c r="V1460" s="16"/>
    </row>
    <row r="1461" spans="22:22">
      <c r="V1461" s="16"/>
    </row>
    <row r="1462" spans="22:22">
      <c r="V1462" s="16"/>
    </row>
    <row r="1463" spans="22:22">
      <c r="V1463" s="16"/>
    </row>
    <row r="1464" spans="22:22">
      <c r="V1464" s="16"/>
    </row>
    <row r="1465" spans="22:22">
      <c r="V1465" s="16"/>
    </row>
    <row r="1466" spans="22:22">
      <c r="V1466" s="16"/>
    </row>
    <row r="1467" spans="22:22">
      <c r="V1467" s="16"/>
    </row>
    <row r="1468" spans="22:22">
      <c r="V1468" s="16"/>
    </row>
    <row r="1469" spans="22:22">
      <c r="V1469" s="16"/>
    </row>
    <row r="1470" spans="22:22">
      <c r="V1470" s="16"/>
    </row>
    <row r="1471" spans="22:22">
      <c r="V1471" s="16"/>
    </row>
    <row r="1472" spans="22:22">
      <c r="V1472" s="16"/>
    </row>
    <row r="1473" spans="22:22">
      <c r="V1473" s="16"/>
    </row>
    <row r="1474" spans="22:22">
      <c r="V1474" s="16"/>
    </row>
    <row r="1475" spans="22:22">
      <c r="V1475" s="16"/>
    </row>
    <row r="1476" spans="22:22">
      <c r="V1476" s="16"/>
    </row>
    <row r="1477" spans="22:22">
      <c r="V1477" s="16"/>
    </row>
    <row r="1478" spans="22:22">
      <c r="V1478" s="16"/>
    </row>
    <row r="1479" spans="22:22">
      <c r="V1479" s="16"/>
    </row>
    <row r="1480" spans="22:22">
      <c r="V1480" s="16"/>
    </row>
    <row r="1481" spans="22:22">
      <c r="V1481" s="16"/>
    </row>
    <row r="1482" spans="22:22">
      <c r="V1482" s="16"/>
    </row>
    <row r="1483" spans="22:22">
      <c r="V1483" s="16"/>
    </row>
    <row r="1484" spans="22:22">
      <c r="V1484" s="16"/>
    </row>
    <row r="1485" spans="22:22">
      <c r="V1485" s="16"/>
    </row>
    <row r="1486" spans="22:22">
      <c r="V1486" s="16"/>
    </row>
    <row r="1487" spans="22:22">
      <c r="V1487" s="16"/>
    </row>
    <row r="1488" spans="22:22">
      <c r="V1488" s="16"/>
    </row>
    <row r="1489" spans="22:22">
      <c r="V1489" s="16"/>
    </row>
    <row r="1490" spans="22:22">
      <c r="V1490" s="16"/>
    </row>
    <row r="1491" spans="22:22">
      <c r="V1491" s="16"/>
    </row>
    <row r="1492" spans="22:22">
      <c r="V1492" s="16"/>
    </row>
    <row r="1493" spans="22:22">
      <c r="V1493" s="16"/>
    </row>
    <row r="1494" spans="22:22">
      <c r="V1494" s="16"/>
    </row>
    <row r="1495" spans="22:22">
      <c r="V1495" s="16"/>
    </row>
    <row r="1496" spans="22:22">
      <c r="V1496" s="16"/>
    </row>
    <row r="1497" spans="22:22">
      <c r="V1497" s="16"/>
    </row>
    <row r="1498" spans="22:22">
      <c r="V1498" s="16"/>
    </row>
    <row r="1499" spans="22:22">
      <c r="V1499" s="16"/>
    </row>
    <row r="1500" spans="22:22">
      <c r="V1500" s="16"/>
    </row>
    <row r="1501" spans="22:22">
      <c r="V1501" s="16"/>
    </row>
    <row r="1502" spans="22:22">
      <c r="V1502" s="16"/>
    </row>
    <row r="1503" spans="22:22">
      <c r="V1503" s="16"/>
    </row>
    <row r="1504" spans="22:22">
      <c r="V1504" s="16"/>
    </row>
    <row r="1505" spans="22:22">
      <c r="V1505" s="16"/>
    </row>
    <row r="1506" spans="22:22">
      <c r="V1506" s="16"/>
    </row>
    <row r="1507" spans="22:22">
      <c r="V1507" s="16"/>
    </row>
    <row r="1508" spans="22:22">
      <c r="V1508" s="16"/>
    </row>
    <row r="1509" spans="22:22">
      <c r="V1509" s="16"/>
    </row>
    <row r="1510" spans="22:22">
      <c r="V1510" s="16"/>
    </row>
    <row r="1511" spans="22:22">
      <c r="V1511" s="16"/>
    </row>
    <row r="1512" spans="22:22">
      <c r="V1512" s="16"/>
    </row>
    <row r="1513" spans="22:22">
      <c r="V1513" s="16"/>
    </row>
    <row r="1514" spans="22:22">
      <c r="V1514" s="16"/>
    </row>
    <row r="1515" spans="22:22">
      <c r="V1515" s="16"/>
    </row>
    <row r="1516" spans="22:22">
      <c r="V1516" s="16"/>
    </row>
    <row r="1517" spans="22:22">
      <c r="V1517" s="16"/>
    </row>
    <row r="1518" spans="22:22">
      <c r="V1518" s="16"/>
    </row>
    <row r="1519" spans="22:22">
      <c r="V1519" s="16"/>
    </row>
    <row r="1520" spans="22:22">
      <c r="V1520" s="16"/>
    </row>
    <row r="1521" spans="22:22">
      <c r="V1521" s="16"/>
    </row>
    <row r="1522" spans="22:22">
      <c r="V1522" s="16"/>
    </row>
    <row r="1523" spans="22:22">
      <c r="V1523" s="16"/>
    </row>
    <row r="1524" spans="22:22">
      <c r="V1524" s="16"/>
    </row>
    <row r="1525" spans="22:22">
      <c r="V1525" s="16"/>
    </row>
    <row r="1526" spans="22:22">
      <c r="V1526" s="16"/>
    </row>
    <row r="1527" spans="22:22">
      <c r="V1527" s="16"/>
    </row>
    <row r="1528" spans="22:22">
      <c r="V1528" s="16"/>
    </row>
    <row r="1529" spans="22:22">
      <c r="V1529" s="16"/>
    </row>
    <row r="1530" spans="22:22">
      <c r="V1530" s="16"/>
    </row>
    <row r="1531" spans="22:22">
      <c r="V1531" s="16"/>
    </row>
    <row r="1532" spans="22:22">
      <c r="V1532" s="16"/>
    </row>
    <row r="1533" spans="22:22">
      <c r="V1533" s="16"/>
    </row>
    <row r="1534" spans="22:22">
      <c r="V1534" s="16"/>
    </row>
    <row r="1535" spans="22:22">
      <c r="V1535" s="16"/>
    </row>
    <row r="1536" spans="22:22">
      <c r="V1536" s="16"/>
    </row>
    <row r="1537" spans="22:22">
      <c r="V1537" s="16"/>
    </row>
    <row r="1538" spans="22:22">
      <c r="V1538" s="16"/>
    </row>
    <row r="1539" spans="22:22">
      <c r="V1539" s="16"/>
    </row>
    <row r="1540" spans="22:22">
      <c r="V1540" s="16"/>
    </row>
    <row r="1541" spans="22:22">
      <c r="V1541" s="16"/>
    </row>
    <row r="1542" spans="22:22">
      <c r="V1542" s="16"/>
    </row>
    <row r="1543" spans="22:22">
      <c r="V1543" s="16"/>
    </row>
    <row r="1544" spans="22:22">
      <c r="V1544" s="16"/>
    </row>
    <row r="1545" spans="22:22">
      <c r="V1545" s="16"/>
    </row>
    <row r="1546" spans="22:22">
      <c r="V1546" s="16"/>
    </row>
    <row r="1547" spans="22:22">
      <c r="V1547" s="16"/>
    </row>
    <row r="1548" spans="22:22">
      <c r="V1548" s="16"/>
    </row>
    <row r="1549" spans="22:22">
      <c r="V1549" s="16"/>
    </row>
    <row r="1550" spans="22:22">
      <c r="V1550" s="16"/>
    </row>
    <row r="1551" spans="22:22">
      <c r="V1551" s="16"/>
    </row>
    <row r="1552" spans="22:22">
      <c r="V1552" s="16"/>
    </row>
    <row r="1553" spans="22:22">
      <c r="V1553" s="16"/>
    </row>
    <row r="1554" spans="22:22">
      <c r="V1554" s="16"/>
    </row>
    <row r="1555" spans="22:22">
      <c r="V1555" s="16"/>
    </row>
    <row r="1556" spans="22:22">
      <c r="V1556" s="16"/>
    </row>
    <row r="1557" spans="22:22">
      <c r="V1557" s="16"/>
    </row>
    <row r="1558" spans="22:22">
      <c r="V1558" s="16"/>
    </row>
    <row r="1559" spans="22:22">
      <c r="V1559" s="16"/>
    </row>
    <row r="1560" spans="22:22">
      <c r="V1560" s="16"/>
    </row>
    <row r="1561" spans="22:22">
      <c r="V1561" s="16"/>
    </row>
    <row r="1562" spans="22:22">
      <c r="V1562" s="16"/>
    </row>
    <row r="1563" spans="22:22">
      <c r="V1563" s="16"/>
    </row>
    <row r="1564" spans="22:22">
      <c r="V1564" s="16"/>
    </row>
    <row r="1565" spans="22:22">
      <c r="V1565" s="16"/>
    </row>
    <row r="1566" spans="22:22">
      <c r="V1566" s="16"/>
    </row>
    <row r="1567" spans="22:22">
      <c r="V1567" s="16"/>
    </row>
    <row r="1568" spans="22:22">
      <c r="V1568" s="16"/>
    </row>
    <row r="1569" spans="22:22">
      <c r="V1569" s="16"/>
    </row>
    <row r="1570" spans="22:22">
      <c r="V1570" s="16"/>
    </row>
    <row r="1571" spans="22:22">
      <c r="V1571" s="16"/>
    </row>
    <row r="1572" spans="22:22">
      <c r="V1572" s="16"/>
    </row>
    <row r="1573" spans="22:22">
      <c r="V1573" s="16"/>
    </row>
    <row r="1574" spans="22:22">
      <c r="V1574" s="16"/>
    </row>
    <row r="1575" spans="22:22">
      <c r="V1575" s="16"/>
    </row>
    <row r="1576" spans="22:22">
      <c r="V1576" s="16"/>
    </row>
    <row r="1577" spans="22:22">
      <c r="V1577" s="16"/>
    </row>
    <row r="1578" spans="22:22">
      <c r="V1578" s="16"/>
    </row>
    <row r="1579" spans="22:22">
      <c r="V1579" s="16"/>
    </row>
    <row r="1580" spans="22:22">
      <c r="V1580" s="16"/>
    </row>
    <row r="1581" spans="22:22">
      <c r="V1581" s="16"/>
    </row>
    <row r="1582" spans="22:22">
      <c r="V1582" s="16"/>
    </row>
    <row r="1583" spans="22:22">
      <c r="V1583" s="16"/>
    </row>
    <row r="1584" spans="22:22">
      <c r="V1584" s="16"/>
    </row>
    <row r="1585" spans="22:22">
      <c r="V1585" s="16"/>
    </row>
    <row r="1586" spans="22:22">
      <c r="V1586" s="16"/>
    </row>
    <row r="1587" spans="22:22">
      <c r="V1587" s="16"/>
    </row>
    <row r="1588" spans="22:22">
      <c r="V1588" s="16"/>
    </row>
    <row r="1589" spans="22:22">
      <c r="V1589" s="16"/>
    </row>
    <row r="1590" spans="22:22">
      <c r="V1590" s="16"/>
    </row>
    <row r="1591" spans="22:22">
      <c r="V1591" s="16"/>
    </row>
    <row r="1592" spans="22:22">
      <c r="V1592" s="16"/>
    </row>
    <row r="1593" spans="22:22">
      <c r="V1593" s="16"/>
    </row>
    <row r="1594" spans="22:22">
      <c r="V1594" s="16"/>
    </row>
    <row r="1595" spans="22:22">
      <c r="V1595" s="16"/>
    </row>
    <row r="1596" spans="22:22">
      <c r="V1596" s="16"/>
    </row>
    <row r="1597" spans="22:22">
      <c r="V1597" s="16"/>
    </row>
    <row r="1598" spans="22:22">
      <c r="V1598" s="16"/>
    </row>
    <row r="1599" spans="22:22">
      <c r="V1599" s="16"/>
    </row>
    <row r="1600" spans="22:22">
      <c r="V1600" s="16"/>
    </row>
    <row r="1601" spans="22:22">
      <c r="V1601" s="16"/>
    </row>
    <row r="1602" spans="22:22">
      <c r="V1602" s="16"/>
    </row>
    <row r="1603" spans="22:22">
      <c r="V1603" s="16"/>
    </row>
    <row r="1604" spans="22:22">
      <c r="V1604" s="16"/>
    </row>
    <row r="1605" spans="22:22">
      <c r="V1605" s="16"/>
    </row>
    <row r="1606" spans="22:22">
      <c r="V1606" s="16"/>
    </row>
    <row r="1607" spans="22:22">
      <c r="V1607" s="16"/>
    </row>
    <row r="1608" spans="22:22">
      <c r="V1608" s="16"/>
    </row>
    <row r="1609" spans="22:22">
      <c r="V1609" s="16"/>
    </row>
    <row r="1610" spans="22:22">
      <c r="V1610" s="16"/>
    </row>
    <row r="1611" spans="22:22">
      <c r="V1611" s="16"/>
    </row>
    <row r="1612" spans="22:22">
      <c r="V1612" s="16"/>
    </row>
    <row r="1613" spans="22:22">
      <c r="V1613" s="16"/>
    </row>
    <row r="1614" spans="22:22">
      <c r="V1614" s="16"/>
    </row>
    <row r="1615" spans="22:22">
      <c r="V1615" s="16"/>
    </row>
    <row r="1616" spans="22:22">
      <c r="V1616" s="16"/>
    </row>
    <row r="1617" spans="22:22">
      <c r="V1617" s="16"/>
    </row>
    <row r="1618" spans="22:22">
      <c r="V1618" s="16"/>
    </row>
    <row r="1619" spans="22:22">
      <c r="V1619" s="16"/>
    </row>
    <row r="1620" spans="22:22">
      <c r="V1620" s="16"/>
    </row>
    <row r="1621" spans="22:22">
      <c r="V1621" s="16"/>
    </row>
    <row r="1622" spans="22:22">
      <c r="V1622" s="16"/>
    </row>
    <row r="1623" spans="22:22">
      <c r="V1623" s="16"/>
    </row>
    <row r="1624" spans="22:22">
      <c r="V1624" s="16"/>
    </row>
    <row r="1625" spans="22:22">
      <c r="V1625" s="16"/>
    </row>
    <row r="1626" spans="22:22">
      <c r="V1626" s="16"/>
    </row>
    <row r="1627" spans="22:22">
      <c r="V1627" s="16"/>
    </row>
    <row r="1628" spans="22:22">
      <c r="V1628" s="16"/>
    </row>
    <row r="1629" spans="22:22">
      <c r="V1629" s="16"/>
    </row>
    <row r="1630" spans="22:22">
      <c r="V1630" s="16"/>
    </row>
    <row r="1631" spans="22:22">
      <c r="V1631" s="16"/>
    </row>
    <row r="1632" spans="22:22">
      <c r="V1632" s="16"/>
    </row>
    <row r="1633" spans="22:22">
      <c r="V1633" s="16"/>
    </row>
    <row r="1634" spans="22:22">
      <c r="V1634" s="16"/>
    </row>
    <row r="1635" spans="22:22">
      <c r="V1635" s="16"/>
    </row>
    <row r="1636" spans="22:22">
      <c r="V1636" s="16"/>
    </row>
    <row r="1637" spans="22:22">
      <c r="V1637" s="16"/>
    </row>
    <row r="1638" spans="22:22">
      <c r="V1638" s="16"/>
    </row>
    <row r="1639" spans="22:22">
      <c r="V1639" s="16"/>
    </row>
    <row r="1640" spans="22:22">
      <c r="V1640" s="16"/>
    </row>
    <row r="1641" spans="22:22">
      <c r="V1641" s="16"/>
    </row>
    <row r="1642" spans="22:22">
      <c r="V1642" s="16"/>
    </row>
    <row r="1643" spans="22:22">
      <c r="V1643" s="16"/>
    </row>
    <row r="1644" spans="22:22">
      <c r="V1644" s="16"/>
    </row>
    <row r="1645" spans="22:22">
      <c r="V1645" s="16"/>
    </row>
    <row r="1646" spans="22:22">
      <c r="V1646" s="16"/>
    </row>
    <row r="1647" spans="22:22">
      <c r="V1647" s="16"/>
    </row>
    <row r="1648" spans="22:22">
      <c r="V1648" s="16"/>
    </row>
    <row r="1649" spans="22:22">
      <c r="V1649" s="16"/>
    </row>
    <row r="1650" spans="22:22">
      <c r="V1650" s="16"/>
    </row>
    <row r="1651" spans="22:22">
      <c r="V1651" s="16"/>
    </row>
    <row r="1652" spans="22:22">
      <c r="V1652" s="16"/>
    </row>
    <row r="1653" spans="22:22">
      <c r="V1653" s="16"/>
    </row>
    <row r="1654" spans="22:22">
      <c r="V1654" s="16"/>
    </row>
    <row r="1655" spans="22:22">
      <c r="V1655" s="16"/>
    </row>
    <row r="1656" spans="22:22">
      <c r="V1656" s="16"/>
    </row>
    <row r="1657" spans="22:22">
      <c r="V1657" s="16"/>
    </row>
    <row r="1658" spans="22:22">
      <c r="V1658" s="16"/>
    </row>
    <row r="1659" spans="22:22">
      <c r="V1659" s="16"/>
    </row>
    <row r="1660" spans="22:22">
      <c r="V1660" s="16"/>
    </row>
    <row r="1661" spans="22:22">
      <c r="V1661" s="16"/>
    </row>
    <row r="1662" spans="22:22">
      <c r="V1662" s="16"/>
    </row>
    <row r="1663" spans="22:22">
      <c r="V1663" s="16"/>
    </row>
    <row r="1664" spans="22:22">
      <c r="V1664" s="16"/>
    </row>
    <row r="1665" spans="22:22">
      <c r="V1665" s="16"/>
    </row>
    <row r="1666" spans="22:22">
      <c r="V1666" s="16"/>
    </row>
    <row r="1667" spans="22:22">
      <c r="V1667" s="16"/>
    </row>
    <row r="1668" spans="22:22">
      <c r="V1668" s="16"/>
    </row>
    <row r="1669" spans="22:22">
      <c r="V1669" s="16"/>
    </row>
    <row r="1670" spans="22:22">
      <c r="V1670" s="16"/>
    </row>
    <row r="1671" spans="22:22">
      <c r="V1671" s="16"/>
    </row>
    <row r="1672" spans="22:22">
      <c r="V1672" s="16"/>
    </row>
    <row r="1673" spans="22:22">
      <c r="V1673" s="16"/>
    </row>
    <row r="1674" spans="22:22">
      <c r="V1674" s="16"/>
    </row>
    <row r="1675" spans="22:22">
      <c r="V1675" s="16"/>
    </row>
    <row r="1676" spans="22:22">
      <c r="V1676" s="16"/>
    </row>
    <row r="1677" spans="22:22">
      <c r="V1677" s="16"/>
    </row>
    <row r="1678" spans="22:22">
      <c r="V1678" s="16"/>
    </row>
    <row r="1679" spans="22:22">
      <c r="V1679" s="16"/>
    </row>
    <row r="1680" spans="22:22">
      <c r="V1680" s="16"/>
    </row>
    <row r="1681" spans="22:22">
      <c r="V1681" s="16"/>
    </row>
    <row r="1682" spans="22:22">
      <c r="V1682" s="16"/>
    </row>
    <row r="1683" spans="22:22">
      <c r="V1683" s="16"/>
    </row>
    <row r="1684" spans="22:22">
      <c r="V1684" s="16"/>
    </row>
    <row r="1685" spans="22:22">
      <c r="V1685" s="16"/>
    </row>
    <row r="1686" spans="22:22">
      <c r="V1686" s="16"/>
    </row>
    <row r="1687" spans="22:22">
      <c r="V1687" s="16"/>
    </row>
    <row r="1688" spans="22:22">
      <c r="V1688" s="16"/>
    </row>
    <row r="1689" spans="22:22">
      <c r="V1689" s="16"/>
    </row>
    <row r="1690" spans="22:22">
      <c r="V1690" s="16"/>
    </row>
    <row r="1691" spans="22:22">
      <c r="V1691" s="16"/>
    </row>
    <row r="1692" spans="22:22">
      <c r="V1692" s="16"/>
    </row>
    <row r="1693" spans="22:22">
      <c r="V1693" s="16"/>
    </row>
    <row r="1694" spans="22:22">
      <c r="V1694" s="16"/>
    </row>
    <row r="1695" spans="22:22">
      <c r="V1695" s="16"/>
    </row>
    <row r="1696" spans="22:22">
      <c r="V1696" s="16"/>
    </row>
    <row r="1697" spans="22:22">
      <c r="V1697" s="16"/>
    </row>
    <row r="1698" spans="22:22">
      <c r="V1698" s="16"/>
    </row>
    <row r="1699" spans="22:22">
      <c r="V1699" s="16"/>
    </row>
    <row r="1700" spans="22:22">
      <c r="V1700" s="16"/>
    </row>
    <row r="1701" spans="22:22">
      <c r="V1701" s="16"/>
    </row>
    <row r="1702" spans="22:22">
      <c r="V1702" s="16"/>
    </row>
    <row r="1703" spans="22:22">
      <c r="V1703" s="16"/>
    </row>
    <row r="1704" spans="22:22">
      <c r="V1704" s="16"/>
    </row>
    <row r="1705" spans="22:22">
      <c r="V1705" s="16"/>
    </row>
    <row r="1706" spans="22:22">
      <c r="V1706" s="16"/>
    </row>
    <row r="1707" spans="22:22">
      <c r="V1707" s="16"/>
    </row>
    <row r="1708" spans="22:22">
      <c r="V1708" s="16"/>
    </row>
    <row r="1709" spans="22:22">
      <c r="V1709" s="16"/>
    </row>
    <row r="1710" spans="22:22">
      <c r="V1710" s="16"/>
    </row>
    <row r="1711" spans="22:22">
      <c r="V1711" s="16"/>
    </row>
    <row r="1712" spans="22:22">
      <c r="V1712" s="16"/>
    </row>
    <row r="1713" spans="22:22">
      <c r="V1713" s="16"/>
    </row>
    <row r="1714" spans="22:22">
      <c r="V1714" s="16"/>
    </row>
    <row r="1715" spans="22:22">
      <c r="V1715" s="16"/>
    </row>
    <row r="1716" spans="22:22">
      <c r="V1716" s="16"/>
    </row>
    <row r="1717" spans="22:22">
      <c r="V1717" s="16"/>
    </row>
    <row r="1718" spans="22:22">
      <c r="V1718" s="16"/>
    </row>
    <row r="1719" spans="22:22">
      <c r="V1719" s="16"/>
    </row>
    <row r="1720" spans="22:22">
      <c r="V1720" s="16"/>
    </row>
    <row r="1721" spans="22:22">
      <c r="V1721" s="16"/>
    </row>
    <row r="1722" spans="22:22">
      <c r="V1722" s="16"/>
    </row>
    <row r="1723" spans="22:22">
      <c r="V1723" s="16"/>
    </row>
    <row r="1724" spans="22:22">
      <c r="V1724" s="16"/>
    </row>
    <row r="1725" spans="22:22">
      <c r="V1725" s="16"/>
    </row>
    <row r="1726" spans="22:22">
      <c r="V1726" s="16"/>
    </row>
    <row r="1727" spans="22:22">
      <c r="V1727" s="16"/>
    </row>
    <row r="1728" spans="22:22">
      <c r="V1728" s="16"/>
    </row>
    <row r="1729" spans="22:22">
      <c r="V1729" s="16"/>
    </row>
    <row r="1730" spans="22:22">
      <c r="V1730" s="16"/>
    </row>
    <row r="1731" spans="22:22">
      <c r="V1731" s="16"/>
    </row>
    <row r="1732" spans="22:22">
      <c r="V1732" s="16"/>
    </row>
    <row r="1733" spans="22:22">
      <c r="V1733" s="16"/>
    </row>
    <row r="1734" spans="22:22">
      <c r="V1734" s="16"/>
    </row>
    <row r="1735" spans="22:22">
      <c r="V1735" s="16"/>
    </row>
    <row r="1736" spans="22:22">
      <c r="V1736" s="16"/>
    </row>
    <row r="1737" spans="22:22">
      <c r="V1737" s="16"/>
    </row>
    <row r="1738" spans="22:22">
      <c r="V1738" s="16"/>
    </row>
    <row r="1739" spans="22:22">
      <c r="V1739" s="16"/>
    </row>
    <row r="1740" spans="22:22">
      <c r="V1740" s="16"/>
    </row>
    <row r="1741" spans="22:22">
      <c r="V1741" s="16"/>
    </row>
    <row r="1742" spans="22:22">
      <c r="V1742" s="16"/>
    </row>
    <row r="1743" spans="22:22">
      <c r="V1743" s="16"/>
    </row>
    <row r="1744" spans="22:22">
      <c r="V1744" s="16"/>
    </row>
    <row r="1745" spans="22:22">
      <c r="V1745" s="16"/>
    </row>
    <row r="1746" spans="22:22">
      <c r="V1746" s="16"/>
    </row>
    <row r="1747" spans="22:22">
      <c r="V1747" s="16"/>
    </row>
    <row r="1748" spans="22:22">
      <c r="V1748" s="16"/>
    </row>
    <row r="1749" spans="22:22">
      <c r="V1749" s="16"/>
    </row>
    <row r="1750" spans="22:22">
      <c r="V1750" s="16"/>
    </row>
    <row r="1751" spans="22:22">
      <c r="V1751" s="16"/>
    </row>
    <row r="1752" spans="22:22">
      <c r="V1752" s="16"/>
    </row>
    <row r="1753" spans="22:22">
      <c r="V1753" s="16"/>
    </row>
    <row r="1754" spans="22:22">
      <c r="V1754" s="16"/>
    </row>
    <row r="1755" spans="22:22">
      <c r="V1755" s="16"/>
    </row>
    <row r="1756" spans="22:22">
      <c r="V1756" s="16"/>
    </row>
    <row r="1757" spans="22:22">
      <c r="V1757" s="16"/>
    </row>
    <row r="1758" spans="22:22">
      <c r="V1758" s="16"/>
    </row>
    <row r="1759" spans="22:22">
      <c r="V1759" s="16"/>
    </row>
    <row r="1760" spans="22:22">
      <c r="V1760" s="16"/>
    </row>
    <row r="1761" spans="22:22">
      <c r="V1761" s="16"/>
    </row>
    <row r="1762" spans="22:22">
      <c r="V1762" s="16"/>
    </row>
    <row r="1763" spans="22:22">
      <c r="V1763" s="16"/>
    </row>
    <row r="1764" spans="22:22">
      <c r="V1764" s="16"/>
    </row>
    <row r="1765" spans="22:22">
      <c r="V1765" s="16"/>
    </row>
    <row r="1766" spans="22:22">
      <c r="V1766" s="16"/>
    </row>
    <row r="1767" spans="22:22">
      <c r="V1767" s="16"/>
    </row>
    <row r="1768" spans="22:22">
      <c r="V1768" s="16"/>
    </row>
    <row r="1769" spans="22:22">
      <c r="V1769" s="16"/>
    </row>
    <row r="1770" spans="22:22">
      <c r="V1770" s="16"/>
    </row>
    <row r="1771" spans="22:22">
      <c r="V1771" s="16"/>
    </row>
    <row r="1772" spans="22:22">
      <c r="V1772" s="16"/>
    </row>
    <row r="1773" spans="22:22">
      <c r="V1773" s="16"/>
    </row>
    <row r="1774" spans="22:22">
      <c r="V1774" s="16"/>
    </row>
    <row r="1775" spans="22:22">
      <c r="V1775" s="16"/>
    </row>
    <row r="1776" spans="22:22">
      <c r="V1776" s="16"/>
    </row>
    <row r="1777" spans="22:22">
      <c r="V1777" s="16"/>
    </row>
    <row r="1778" spans="22:22">
      <c r="V1778" s="16"/>
    </row>
    <row r="1779" spans="22:22">
      <c r="V1779" s="16"/>
    </row>
    <row r="1780" spans="22:22">
      <c r="V1780" s="16"/>
    </row>
    <row r="1781" spans="22:22">
      <c r="V1781" s="16"/>
    </row>
    <row r="1782" spans="22:22">
      <c r="V1782" s="16"/>
    </row>
    <row r="1783" spans="22:22">
      <c r="V1783" s="16"/>
    </row>
    <row r="1784" spans="22:22">
      <c r="V1784" s="16"/>
    </row>
    <row r="1785" spans="22:22">
      <c r="V1785" s="16"/>
    </row>
    <row r="1786" spans="22:22">
      <c r="V1786" s="16"/>
    </row>
    <row r="1787" spans="22:22">
      <c r="V1787" s="16"/>
    </row>
    <row r="1788" spans="22:22">
      <c r="V1788" s="16"/>
    </row>
    <row r="1789" spans="22:22">
      <c r="V1789" s="16"/>
    </row>
    <row r="1790" spans="22:22">
      <c r="V1790" s="16"/>
    </row>
    <row r="1791" spans="22:22">
      <c r="V1791" s="16"/>
    </row>
    <row r="1792" spans="22:22">
      <c r="V1792" s="16"/>
    </row>
    <row r="1793" spans="22:22">
      <c r="V1793" s="16"/>
    </row>
    <row r="1794" spans="22:22">
      <c r="V1794" s="16"/>
    </row>
    <row r="1795" spans="22:22">
      <c r="V1795" s="16"/>
    </row>
    <row r="1796" spans="22:22">
      <c r="V1796" s="16"/>
    </row>
    <row r="1797" spans="22:22">
      <c r="V1797" s="16"/>
    </row>
    <row r="1798" spans="22:22">
      <c r="V1798" s="16"/>
    </row>
    <row r="1799" spans="22:22">
      <c r="V1799" s="16"/>
    </row>
    <row r="1800" spans="22:22">
      <c r="V1800" s="16"/>
    </row>
    <row r="1801" spans="22:22">
      <c r="V1801" s="16"/>
    </row>
    <row r="1802" spans="22:22">
      <c r="V1802" s="16"/>
    </row>
    <row r="1803" spans="22:22">
      <c r="V1803" s="16"/>
    </row>
    <row r="1804" spans="22:22">
      <c r="V1804" s="16"/>
    </row>
    <row r="1805" spans="22:22">
      <c r="V1805" s="16"/>
    </row>
    <row r="1806" spans="22:22">
      <c r="V1806" s="16"/>
    </row>
    <row r="1807" spans="22:22">
      <c r="V1807" s="16"/>
    </row>
    <row r="1808" spans="22:22">
      <c r="V1808" s="16"/>
    </row>
    <row r="1809" spans="22:22">
      <c r="V1809" s="16"/>
    </row>
    <row r="1810" spans="22:22">
      <c r="V1810" s="16"/>
    </row>
    <row r="1811" spans="22:22">
      <c r="V1811" s="16"/>
    </row>
    <row r="1812" spans="22:22">
      <c r="V1812" s="16"/>
    </row>
    <row r="1813" spans="22:22">
      <c r="V1813" s="16"/>
    </row>
    <row r="1814" spans="22:22">
      <c r="V1814" s="16"/>
    </row>
    <row r="1815" spans="22:22">
      <c r="V1815" s="16"/>
    </row>
    <row r="1816" spans="22:22">
      <c r="V1816" s="16"/>
    </row>
    <row r="1817" spans="22:22">
      <c r="V1817" s="16"/>
    </row>
    <row r="1818" spans="22:22">
      <c r="V1818" s="16"/>
    </row>
    <row r="1819" spans="22:22">
      <c r="V1819" s="16"/>
    </row>
    <row r="1820" spans="22:22">
      <c r="V1820" s="16"/>
    </row>
    <row r="1821" spans="22:22">
      <c r="V1821" s="16"/>
    </row>
    <row r="1822" spans="22:22">
      <c r="V1822" s="16"/>
    </row>
    <row r="1823" spans="22:22">
      <c r="V1823" s="16"/>
    </row>
    <row r="1824" spans="22:22">
      <c r="V1824" s="16"/>
    </row>
    <row r="1825" spans="22:22">
      <c r="V1825" s="16"/>
    </row>
    <row r="1826" spans="22:22">
      <c r="V1826" s="16"/>
    </row>
    <row r="1827" spans="22:22">
      <c r="V1827" s="16"/>
    </row>
    <row r="1828" spans="22:22">
      <c r="V1828" s="16"/>
    </row>
    <row r="1829" spans="22:22">
      <c r="V1829" s="16"/>
    </row>
    <row r="1830" spans="22:22">
      <c r="V1830" s="16"/>
    </row>
    <row r="1831" spans="22:22">
      <c r="V1831" s="16"/>
    </row>
    <row r="1832" spans="22:22">
      <c r="V1832" s="16"/>
    </row>
    <row r="1833" spans="22:22">
      <c r="V1833" s="16"/>
    </row>
    <row r="1834" spans="22:22">
      <c r="V1834" s="16"/>
    </row>
    <row r="1835" spans="22:22">
      <c r="V1835" s="16"/>
    </row>
    <row r="1836" spans="22:22">
      <c r="V1836" s="16"/>
    </row>
    <row r="1837" spans="22:22">
      <c r="V1837" s="16"/>
    </row>
    <row r="1838" spans="22:22">
      <c r="V1838" s="16"/>
    </row>
    <row r="1839" spans="22:22">
      <c r="V1839" s="16"/>
    </row>
    <row r="1840" spans="22:22">
      <c r="V1840" s="16"/>
    </row>
    <row r="1841" spans="22:22">
      <c r="V1841" s="16"/>
    </row>
    <row r="1842" spans="22:22">
      <c r="V1842" s="16"/>
    </row>
    <row r="1843" spans="22:22">
      <c r="V1843" s="16"/>
    </row>
    <row r="1844" spans="22:22">
      <c r="V1844" s="16"/>
    </row>
    <row r="1845" spans="22:22">
      <c r="V1845" s="16"/>
    </row>
    <row r="1846" spans="22:22">
      <c r="V1846" s="16"/>
    </row>
    <row r="1847" spans="22:22">
      <c r="V1847" s="16"/>
    </row>
    <row r="1848" spans="22:22">
      <c r="V1848" s="16"/>
    </row>
    <row r="1849" spans="22:22">
      <c r="V1849" s="16"/>
    </row>
    <row r="1850" spans="22:22">
      <c r="V1850" s="16"/>
    </row>
    <row r="1851" spans="22:22">
      <c r="V1851" s="16"/>
    </row>
    <row r="1852" spans="22:22">
      <c r="V1852" s="16"/>
    </row>
    <row r="1853" spans="22:22">
      <c r="V1853" s="16"/>
    </row>
    <row r="1854" spans="22:22">
      <c r="V1854" s="16"/>
    </row>
    <row r="1855" spans="22:22">
      <c r="V1855" s="16"/>
    </row>
    <row r="1856" spans="22:22">
      <c r="V1856" s="16"/>
    </row>
    <row r="1857" spans="22:22">
      <c r="V1857" s="16"/>
    </row>
    <row r="1858" spans="22:22">
      <c r="V1858" s="16"/>
    </row>
    <row r="1859" spans="22:22">
      <c r="V1859" s="16"/>
    </row>
    <row r="1860" spans="22:22">
      <c r="V1860" s="16"/>
    </row>
    <row r="1861" spans="22:22">
      <c r="V1861" s="16"/>
    </row>
    <row r="1862" spans="22:22">
      <c r="V1862" s="16"/>
    </row>
    <row r="1863" spans="22:22">
      <c r="V1863" s="16"/>
    </row>
    <row r="1864" spans="22:22">
      <c r="V1864" s="16"/>
    </row>
    <row r="1865" spans="22:22">
      <c r="V1865" s="16"/>
    </row>
    <row r="1866" spans="22:22">
      <c r="V1866" s="16"/>
    </row>
    <row r="1867" spans="22:22">
      <c r="V1867" s="16"/>
    </row>
    <row r="1868" spans="22:22">
      <c r="V1868" s="16"/>
    </row>
    <row r="1869" spans="22:22">
      <c r="V1869" s="16"/>
    </row>
    <row r="1870" spans="22:22">
      <c r="V1870" s="16"/>
    </row>
    <row r="1871" spans="22:22">
      <c r="V1871" s="16"/>
    </row>
    <row r="1872" spans="22:22">
      <c r="V1872" s="16"/>
    </row>
    <row r="1873" spans="22:22">
      <c r="V1873" s="16"/>
    </row>
    <row r="1874" spans="22:22">
      <c r="V1874" s="16"/>
    </row>
    <row r="1875" spans="22:22">
      <c r="V1875" s="16"/>
    </row>
    <row r="1876" spans="22:22">
      <c r="V1876" s="16"/>
    </row>
    <row r="1877" spans="22:22">
      <c r="V1877" s="16"/>
    </row>
    <row r="1878" spans="22:22">
      <c r="V1878" s="16"/>
    </row>
    <row r="1879" spans="22:22">
      <c r="V1879" s="16"/>
    </row>
    <row r="1880" spans="22:22">
      <c r="V1880" s="16"/>
    </row>
    <row r="1881" spans="22:22">
      <c r="V1881" s="16"/>
    </row>
    <row r="1882" spans="22:22">
      <c r="V1882" s="16"/>
    </row>
    <row r="1883" spans="22:22">
      <c r="V1883" s="16"/>
    </row>
    <row r="1884" spans="22:22">
      <c r="V1884" s="16"/>
    </row>
    <row r="1885" spans="22:22">
      <c r="V1885" s="16"/>
    </row>
    <row r="1886" spans="22:22">
      <c r="V1886" s="16"/>
    </row>
    <row r="1887" spans="22:22">
      <c r="V1887" s="16"/>
    </row>
    <row r="1888" spans="22:22">
      <c r="V1888" s="16"/>
    </row>
    <row r="1889" spans="22:22">
      <c r="V1889" s="16"/>
    </row>
    <row r="1890" spans="22:22">
      <c r="V1890" s="16"/>
    </row>
    <row r="1891" spans="22:22">
      <c r="V1891" s="16"/>
    </row>
    <row r="1892" spans="22:22">
      <c r="V1892" s="16"/>
    </row>
    <row r="1893" spans="22:22">
      <c r="V1893" s="16"/>
    </row>
    <row r="1894" spans="22:22">
      <c r="V1894" s="16"/>
    </row>
    <row r="1895" spans="22:22">
      <c r="V1895" s="16"/>
    </row>
    <row r="1896" spans="22:22">
      <c r="V1896" s="16"/>
    </row>
    <row r="1897" spans="22:22">
      <c r="V1897" s="16"/>
    </row>
    <row r="1898" spans="22:22">
      <c r="V1898" s="16"/>
    </row>
    <row r="1899" spans="22:22">
      <c r="V1899" s="16"/>
    </row>
    <row r="1900" spans="22:22">
      <c r="V1900" s="16"/>
    </row>
    <row r="1901" spans="22:22">
      <c r="V1901" s="16"/>
    </row>
    <row r="1902" spans="22:22">
      <c r="V1902" s="16"/>
    </row>
    <row r="1903" spans="22:22">
      <c r="V1903" s="16"/>
    </row>
    <row r="1904" spans="22:22">
      <c r="V1904" s="16"/>
    </row>
    <row r="1905" spans="22:22">
      <c r="V1905" s="16"/>
    </row>
    <row r="1906" spans="22:22">
      <c r="V1906" s="16"/>
    </row>
    <row r="1907" spans="22:22">
      <c r="V1907" s="16"/>
    </row>
    <row r="1908" spans="22:22">
      <c r="V1908" s="16"/>
    </row>
    <row r="1909" spans="22:22">
      <c r="V1909" s="16"/>
    </row>
    <row r="1910" spans="22:22">
      <c r="V1910" s="16"/>
    </row>
    <row r="1911" spans="22:22">
      <c r="V1911" s="16"/>
    </row>
    <row r="1912" spans="22:22">
      <c r="V1912" s="16"/>
    </row>
    <row r="1913" spans="22:22">
      <c r="V1913" s="16"/>
    </row>
    <row r="1914" spans="22:22">
      <c r="V1914" s="16"/>
    </row>
    <row r="1915" spans="22:22">
      <c r="V1915" s="16"/>
    </row>
    <row r="1916" spans="22:22">
      <c r="V1916" s="16"/>
    </row>
    <row r="1917" spans="22:22">
      <c r="V1917" s="16"/>
    </row>
    <row r="1918" spans="22:22">
      <c r="V1918" s="16"/>
    </row>
    <row r="1919" spans="22:22">
      <c r="V1919" s="16"/>
    </row>
    <row r="1920" spans="22:22">
      <c r="V1920" s="16"/>
    </row>
    <row r="1921" spans="22:22">
      <c r="V1921" s="16"/>
    </row>
    <row r="1922" spans="22:22">
      <c r="V1922" s="16"/>
    </row>
    <row r="1923" spans="22:22">
      <c r="V1923" s="16"/>
    </row>
    <row r="1924" spans="22:22">
      <c r="V1924" s="16"/>
    </row>
    <row r="1925" spans="22:22">
      <c r="V1925" s="16"/>
    </row>
    <row r="1926" spans="22:22">
      <c r="V1926" s="16"/>
    </row>
    <row r="1927" spans="22:22">
      <c r="V1927" s="16"/>
    </row>
    <row r="1928" spans="22:22">
      <c r="V1928" s="16"/>
    </row>
    <row r="1929" spans="22:22">
      <c r="V1929" s="16"/>
    </row>
    <row r="1930" spans="22:22">
      <c r="V1930" s="16"/>
    </row>
    <row r="1931" spans="22:22">
      <c r="V1931" s="16"/>
    </row>
    <row r="1932" spans="22:22">
      <c r="V1932" s="16"/>
    </row>
    <row r="1933" spans="22:22">
      <c r="V1933" s="16"/>
    </row>
    <row r="1934" spans="22:22">
      <c r="V1934" s="16"/>
    </row>
    <row r="1935" spans="22:22">
      <c r="V1935" s="16"/>
    </row>
    <row r="1936" spans="22:22">
      <c r="V1936" s="16"/>
    </row>
    <row r="1937" spans="22:22">
      <c r="V1937" s="16"/>
    </row>
    <row r="1938" spans="22:22">
      <c r="V1938" s="16"/>
    </row>
    <row r="1939" spans="22:22">
      <c r="V1939" s="16"/>
    </row>
    <row r="1940" spans="22:22">
      <c r="V1940" s="16"/>
    </row>
    <row r="1941" spans="22:22">
      <c r="V1941" s="16"/>
    </row>
    <row r="1942" spans="22:22">
      <c r="V1942" s="16"/>
    </row>
    <row r="1943" spans="22:22">
      <c r="V1943" s="16"/>
    </row>
    <row r="1944" spans="22:22">
      <c r="V1944" s="16"/>
    </row>
    <row r="1945" spans="22:22">
      <c r="V1945" s="16"/>
    </row>
    <row r="1946" spans="22:22">
      <c r="V1946" s="16"/>
    </row>
    <row r="1947" spans="22:22">
      <c r="V1947" s="16"/>
    </row>
    <row r="1948" spans="22:22">
      <c r="V1948" s="16"/>
    </row>
    <row r="1949" spans="22:22">
      <c r="V1949" s="16"/>
    </row>
    <row r="1950" spans="22:22">
      <c r="V1950" s="16"/>
    </row>
    <row r="1951" spans="22:22">
      <c r="V1951" s="16"/>
    </row>
    <row r="1952" spans="22:22">
      <c r="V1952" s="16"/>
    </row>
    <row r="1953" spans="22:22">
      <c r="V1953" s="16"/>
    </row>
    <row r="1954" spans="22:22">
      <c r="V1954" s="16"/>
    </row>
    <row r="1955" spans="22:22">
      <c r="V1955" s="16"/>
    </row>
    <row r="1956" spans="22:22">
      <c r="V1956" s="16"/>
    </row>
    <row r="1957" spans="22:22">
      <c r="V1957" s="16"/>
    </row>
    <row r="1958" spans="22:22">
      <c r="V1958" s="16"/>
    </row>
    <row r="1959" spans="22:22">
      <c r="V1959" s="16"/>
    </row>
    <row r="1960" spans="22:22">
      <c r="V1960" s="16"/>
    </row>
    <row r="1961" spans="22:22">
      <c r="V1961" s="16"/>
    </row>
    <row r="1962" spans="22:22">
      <c r="V1962" s="16"/>
    </row>
    <row r="1963" spans="22:22">
      <c r="V1963" s="16"/>
    </row>
    <row r="1964" spans="22:22">
      <c r="V1964" s="16"/>
    </row>
    <row r="1965" spans="22:22">
      <c r="V1965" s="16"/>
    </row>
    <row r="1966" spans="22:22">
      <c r="V1966" s="16"/>
    </row>
    <row r="1967" spans="22:22">
      <c r="V1967" s="16"/>
    </row>
    <row r="1968" spans="22:22">
      <c r="V1968" s="16"/>
    </row>
    <row r="1969" spans="22:22">
      <c r="V1969" s="16"/>
    </row>
    <row r="1970" spans="22:22">
      <c r="V1970" s="16"/>
    </row>
    <row r="1971" spans="22:22">
      <c r="V1971" s="16"/>
    </row>
    <row r="1972" spans="22:22">
      <c r="V1972" s="16"/>
    </row>
    <row r="1973" spans="22:22">
      <c r="V1973" s="16"/>
    </row>
    <row r="1974" spans="22:22">
      <c r="V1974" s="16"/>
    </row>
    <row r="1975" spans="22:22">
      <c r="V1975" s="16"/>
    </row>
    <row r="1976" spans="22:22">
      <c r="V1976" s="16"/>
    </row>
    <row r="1977" spans="22:22">
      <c r="V1977" s="16"/>
    </row>
    <row r="1978" spans="22:22">
      <c r="V1978" s="16"/>
    </row>
    <row r="1979" spans="22:22">
      <c r="V1979" s="16"/>
    </row>
    <row r="1980" spans="22:22">
      <c r="V1980" s="16"/>
    </row>
    <row r="1981" spans="22:22">
      <c r="V1981" s="16"/>
    </row>
    <row r="1982" spans="22:22">
      <c r="V1982" s="16"/>
    </row>
    <row r="1983" spans="22:22">
      <c r="V1983" s="16"/>
    </row>
    <row r="1984" spans="22:22">
      <c r="V1984" s="16"/>
    </row>
    <row r="1985" spans="22:22">
      <c r="V1985" s="16"/>
    </row>
    <row r="1986" spans="22:22">
      <c r="V1986" s="16"/>
    </row>
    <row r="1987" spans="22:22">
      <c r="V1987" s="16"/>
    </row>
    <row r="1988" spans="22:22">
      <c r="V1988" s="16"/>
    </row>
    <row r="1989" spans="22:22">
      <c r="V1989" s="16"/>
    </row>
    <row r="1990" spans="22:22">
      <c r="V1990" s="16"/>
    </row>
    <row r="1991" spans="22:22">
      <c r="V1991" s="16"/>
    </row>
    <row r="1992" spans="22:22">
      <c r="V1992" s="16"/>
    </row>
    <row r="1993" spans="22:22">
      <c r="V1993" s="16"/>
    </row>
    <row r="1994" spans="22:22">
      <c r="V1994" s="16"/>
    </row>
    <row r="1995" spans="22:22">
      <c r="V1995" s="16"/>
    </row>
    <row r="1996" spans="22:22">
      <c r="V1996" s="16"/>
    </row>
    <row r="1997" spans="22:22">
      <c r="V1997" s="16"/>
    </row>
    <row r="1998" spans="22:22">
      <c r="V1998" s="16"/>
    </row>
    <row r="1999" spans="22:22">
      <c r="V1999" s="16"/>
    </row>
    <row r="2000" spans="22:22">
      <c r="V2000" s="16"/>
    </row>
    <row r="2001" spans="22:22">
      <c r="V2001" s="16"/>
    </row>
    <row r="2002" spans="22:22">
      <c r="V2002" s="16"/>
    </row>
    <row r="2003" spans="22:22">
      <c r="V2003" s="16"/>
    </row>
    <row r="2004" spans="22:22">
      <c r="V2004" s="16"/>
    </row>
    <row r="2005" spans="22:22">
      <c r="V2005" s="16"/>
    </row>
    <row r="2006" spans="22:22">
      <c r="V2006" s="16"/>
    </row>
    <row r="2007" spans="22:22">
      <c r="V2007" s="16"/>
    </row>
    <row r="2008" spans="22:22">
      <c r="V2008" s="16"/>
    </row>
    <row r="2009" spans="22:22">
      <c r="V2009" s="16"/>
    </row>
    <row r="2010" spans="22:22">
      <c r="V2010" s="16"/>
    </row>
    <row r="2011" spans="22:22">
      <c r="V2011" s="16"/>
    </row>
    <row r="2012" spans="22:22">
      <c r="V2012" s="16"/>
    </row>
    <row r="2013" spans="22:22">
      <c r="V2013" s="16"/>
    </row>
    <row r="2014" spans="22:22">
      <c r="V2014" s="16"/>
    </row>
    <row r="2015" spans="22:22">
      <c r="V2015" s="16"/>
    </row>
    <row r="2016" spans="22:22">
      <c r="V2016" s="16"/>
    </row>
    <row r="2017" spans="22:22">
      <c r="V2017" s="16"/>
    </row>
    <row r="2018" spans="22:22">
      <c r="V2018" s="16"/>
    </row>
    <row r="2019" spans="22:22">
      <c r="V2019" s="16"/>
    </row>
    <row r="2020" spans="22:22">
      <c r="V2020" s="16"/>
    </row>
    <row r="2021" spans="22:22">
      <c r="V2021" s="16"/>
    </row>
    <row r="2022" spans="22:22">
      <c r="V2022" s="16"/>
    </row>
    <row r="2023" spans="22:22">
      <c r="V2023" s="16"/>
    </row>
    <row r="2024" spans="22:22">
      <c r="V2024" s="16"/>
    </row>
    <row r="2025" spans="22:22">
      <c r="V2025" s="16"/>
    </row>
    <row r="2026" spans="22:22">
      <c r="V2026" s="16"/>
    </row>
    <row r="2027" spans="22:22">
      <c r="V2027" s="16"/>
    </row>
    <row r="2028" spans="22:22">
      <c r="V2028" s="16"/>
    </row>
    <row r="2029" spans="22:22">
      <c r="V2029" s="16"/>
    </row>
    <row r="2030" spans="22:22">
      <c r="V2030" s="16"/>
    </row>
    <row r="2031" spans="22:22">
      <c r="V2031" s="16"/>
    </row>
    <row r="2032" spans="22:22">
      <c r="V2032" s="16"/>
    </row>
    <row r="2033" spans="22:22">
      <c r="V2033" s="16"/>
    </row>
    <row r="2034" spans="22:22">
      <c r="V2034" s="16"/>
    </row>
    <row r="2035" spans="22:22">
      <c r="V2035" s="16"/>
    </row>
    <row r="2036" spans="22:22">
      <c r="V2036" s="16"/>
    </row>
    <row r="2037" spans="22:22">
      <c r="V2037" s="16"/>
    </row>
    <row r="2038" spans="22:22">
      <c r="V2038" s="16"/>
    </row>
    <row r="2039" spans="22:22">
      <c r="V2039" s="16"/>
    </row>
    <row r="2040" spans="22:22">
      <c r="V2040" s="16"/>
    </row>
    <row r="2041" spans="22:22">
      <c r="V2041" s="16"/>
    </row>
    <row r="2042" spans="22:22">
      <c r="V2042" s="16"/>
    </row>
    <row r="2043" spans="22:22">
      <c r="V2043" s="16"/>
    </row>
    <row r="2044" spans="22:22">
      <c r="V2044" s="16"/>
    </row>
    <row r="2045" spans="22:22">
      <c r="V2045" s="16"/>
    </row>
    <row r="2046" spans="22:22">
      <c r="V2046" s="16"/>
    </row>
    <row r="2047" spans="22:22">
      <c r="V2047" s="16"/>
    </row>
    <row r="2048" spans="22:22">
      <c r="V2048" s="16"/>
    </row>
    <row r="2049" spans="22:22">
      <c r="V2049" s="16"/>
    </row>
    <row r="2050" spans="22:22">
      <c r="V2050" s="16"/>
    </row>
    <row r="2051" spans="22:22">
      <c r="V2051" s="16"/>
    </row>
    <row r="2052" spans="22:22">
      <c r="V2052" s="16"/>
    </row>
    <row r="2053" spans="22:22">
      <c r="V2053" s="16"/>
    </row>
    <row r="2054" spans="22:22">
      <c r="V2054" s="16"/>
    </row>
    <row r="2055" spans="22:22">
      <c r="V2055" s="16"/>
    </row>
    <row r="2056" spans="22:22">
      <c r="V2056" s="16"/>
    </row>
    <row r="2057" spans="22:22">
      <c r="V2057" s="16"/>
    </row>
    <row r="2058" spans="22:22">
      <c r="V2058" s="16"/>
    </row>
    <row r="2059" spans="22:22">
      <c r="V2059" s="16"/>
    </row>
    <row r="2060" spans="22:22">
      <c r="V2060" s="16"/>
    </row>
    <row r="2061" spans="22:22">
      <c r="V2061" s="16"/>
    </row>
    <row r="2062" spans="22:22">
      <c r="V2062" s="16"/>
    </row>
    <row r="2063" spans="22:22">
      <c r="V2063" s="16"/>
    </row>
    <row r="2064" spans="22:22">
      <c r="V2064" s="16"/>
    </row>
    <row r="2065" spans="22:22">
      <c r="V2065" s="16"/>
    </row>
    <row r="2066" spans="22:22">
      <c r="V2066" s="16"/>
    </row>
    <row r="2067" spans="22:22">
      <c r="V2067" s="16"/>
    </row>
    <row r="2068" spans="22:22">
      <c r="V2068" s="16"/>
    </row>
    <row r="2069" spans="22:22">
      <c r="V2069" s="16"/>
    </row>
    <row r="2070" spans="22:22">
      <c r="V2070" s="16"/>
    </row>
    <row r="2071" spans="22:22">
      <c r="V2071" s="16"/>
    </row>
    <row r="2072" spans="22:22">
      <c r="V2072" s="16"/>
    </row>
    <row r="2073" spans="22:22">
      <c r="V2073" s="16"/>
    </row>
    <row r="2074" spans="22:22">
      <c r="V2074" s="16"/>
    </row>
    <row r="2075" spans="22:22">
      <c r="V2075" s="16"/>
    </row>
    <row r="2076" spans="22:22">
      <c r="V2076" s="16"/>
    </row>
    <row r="2077" spans="22:22">
      <c r="V2077" s="16"/>
    </row>
    <row r="2078" spans="22:22">
      <c r="V2078" s="16"/>
    </row>
    <row r="2079" spans="22:22">
      <c r="V2079" s="16"/>
    </row>
    <row r="2080" spans="22:22">
      <c r="V2080" s="16"/>
    </row>
    <row r="2081" spans="22:22">
      <c r="V2081" s="16"/>
    </row>
    <row r="2082" spans="22:22">
      <c r="V2082" s="16"/>
    </row>
    <row r="2083" spans="22:22">
      <c r="V2083" s="16"/>
    </row>
    <row r="2084" spans="22:22">
      <c r="V2084" s="16"/>
    </row>
    <row r="2085" spans="22:22">
      <c r="V2085" s="16"/>
    </row>
    <row r="2086" spans="22:22">
      <c r="V2086" s="16"/>
    </row>
    <row r="2087" spans="22:22">
      <c r="V2087" s="16"/>
    </row>
    <row r="2088" spans="22:22">
      <c r="V2088" s="16"/>
    </row>
    <row r="2089" spans="22:22">
      <c r="V2089" s="16"/>
    </row>
    <row r="2090" spans="22:22">
      <c r="V2090" s="16"/>
    </row>
    <row r="2091" spans="22:22">
      <c r="V2091" s="16"/>
    </row>
    <row r="2092" spans="22:22">
      <c r="V2092" s="16"/>
    </row>
    <row r="2093" spans="22:22">
      <c r="V2093" s="16"/>
    </row>
    <row r="2094" spans="22:22">
      <c r="V2094" s="16"/>
    </row>
    <row r="2095" spans="22:22">
      <c r="V2095" s="16"/>
    </row>
    <row r="2096" spans="22:22">
      <c r="V2096" s="16"/>
    </row>
    <row r="2097" spans="22:22">
      <c r="V2097" s="16"/>
    </row>
    <row r="2098" spans="22:22">
      <c r="V2098" s="16"/>
    </row>
    <row r="2099" spans="22:22">
      <c r="V2099" s="16"/>
    </row>
    <row r="2100" spans="22:22">
      <c r="V2100" s="16"/>
    </row>
    <row r="2101" spans="22:22">
      <c r="V2101" s="16"/>
    </row>
    <row r="2102" spans="22:22">
      <c r="V2102" s="16"/>
    </row>
    <row r="2103" spans="22:22">
      <c r="V2103" s="16"/>
    </row>
    <row r="2104" spans="22:22">
      <c r="V2104" s="16"/>
    </row>
    <row r="2105" spans="22:22">
      <c r="V2105" s="16"/>
    </row>
    <row r="2106" spans="22:22">
      <c r="V2106" s="16"/>
    </row>
    <row r="2107" spans="22:22">
      <c r="V2107" s="16"/>
    </row>
    <row r="2108" spans="22:22">
      <c r="V2108" s="16"/>
    </row>
    <row r="2109" spans="22:22">
      <c r="V2109" s="16"/>
    </row>
    <row r="2110" spans="22:22">
      <c r="V2110" s="16"/>
    </row>
    <row r="2111" spans="22:22">
      <c r="V2111" s="16"/>
    </row>
    <row r="2112" spans="22:22">
      <c r="V2112" s="16"/>
    </row>
    <row r="2113" spans="22:22">
      <c r="V2113" s="16"/>
    </row>
    <row r="2114" spans="22:22">
      <c r="V2114" s="16"/>
    </row>
    <row r="2115" spans="22:22">
      <c r="V2115" s="16"/>
    </row>
    <row r="2116" spans="22:22">
      <c r="V2116" s="16"/>
    </row>
    <row r="2117" spans="22:22">
      <c r="V2117" s="16"/>
    </row>
    <row r="2118" spans="22:22">
      <c r="V2118" s="16"/>
    </row>
    <row r="2119" spans="22:22">
      <c r="V2119" s="16"/>
    </row>
    <row r="2120" spans="22:22">
      <c r="V2120" s="16"/>
    </row>
    <row r="2121" spans="22:22">
      <c r="V2121" s="16"/>
    </row>
    <row r="2122" spans="22:22">
      <c r="V2122" s="16"/>
    </row>
    <row r="2123" spans="22:22">
      <c r="V2123" s="16"/>
    </row>
    <row r="2124" spans="22:22">
      <c r="V2124" s="16"/>
    </row>
    <row r="2125" spans="22:22">
      <c r="V2125" s="16"/>
    </row>
    <row r="2126" spans="22:22">
      <c r="V2126" s="16"/>
    </row>
    <row r="2127" spans="22:22">
      <c r="V2127" s="16"/>
    </row>
    <row r="2128" spans="22:22">
      <c r="V2128" s="16"/>
    </row>
    <row r="2129" spans="22:22">
      <c r="V2129" s="16"/>
    </row>
    <row r="2130" spans="22:22">
      <c r="V2130" s="16"/>
    </row>
    <row r="2131" spans="22:22">
      <c r="V2131" s="16"/>
    </row>
    <row r="2132" spans="22:22">
      <c r="V2132" s="16"/>
    </row>
    <row r="2133" spans="22:22">
      <c r="V2133" s="16"/>
    </row>
    <row r="2134" spans="22:22">
      <c r="V2134" s="16"/>
    </row>
    <row r="2135" spans="22:22">
      <c r="V2135" s="16"/>
    </row>
    <row r="2136" spans="22:22">
      <c r="V2136" s="16"/>
    </row>
    <row r="2137" spans="22:22">
      <c r="V2137" s="16"/>
    </row>
    <row r="2138" spans="22:22">
      <c r="V2138" s="16"/>
    </row>
    <row r="2139" spans="22:22">
      <c r="V2139" s="16"/>
    </row>
    <row r="2140" spans="22:22">
      <c r="V2140" s="16"/>
    </row>
    <row r="2141" spans="22:22">
      <c r="V2141" s="16"/>
    </row>
    <row r="2142" spans="22:22">
      <c r="V2142" s="16"/>
    </row>
    <row r="2143" spans="22:22">
      <c r="V2143" s="16"/>
    </row>
    <row r="2144" spans="22:22">
      <c r="V2144" s="16"/>
    </row>
    <row r="2145" spans="22:22">
      <c r="V2145" s="16"/>
    </row>
    <row r="2146" spans="22:22">
      <c r="V2146" s="16"/>
    </row>
    <row r="2147" spans="22:22">
      <c r="V2147" s="16"/>
    </row>
    <row r="2148" spans="22:22">
      <c r="V2148" s="16"/>
    </row>
    <row r="2149" spans="22:22">
      <c r="V2149" s="16"/>
    </row>
    <row r="2150" spans="22:22">
      <c r="V2150" s="16"/>
    </row>
    <row r="2151" spans="22:22">
      <c r="V2151" s="16"/>
    </row>
    <row r="2152" spans="22:22">
      <c r="V2152" s="16"/>
    </row>
    <row r="2153" spans="22:22">
      <c r="V2153" s="16"/>
    </row>
    <row r="2154" spans="22:22">
      <c r="V2154" s="16"/>
    </row>
    <row r="2155" spans="22:22">
      <c r="V2155" s="16"/>
    </row>
    <row r="2156" spans="22:22">
      <c r="V2156" s="16"/>
    </row>
    <row r="2157" spans="22:22">
      <c r="V2157" s="16"/>
    </row>
    <row r="2158" spans="22:22">
      <c r="V2158" s="16"/>
    </row>
    <row r="2159" spans="22:22">
      <c r="V2159" s="16"/>
    </row>
    <row r="2160" spans="22:22">
      <c r="V2160" s="16"/>
    </row>
    <row r="2161" spans="22:22">
      <c r="V2161" s="16"/>
    </row>
    <row r="2162" spans="22:22">
      <c r="V2162" s="16"/>
    </row>
    <row r="2163" spans="22:22">
      <c r="V2163" s="16"/>
    </row>
    <row r="2164" spans="22:22">
      <c r="V2164" s="16"/>
    </row>
    <row r="2165" spans="22:22">
      <c r="V2165" s="16"/>
    </row>
    <row r="2166" spans="22:22">
      <c r="V2166" s="16"/>
    </row>
    <row r="2167" spans="22:22">
      <c r="V2167" s="16"/>
    </row>
    <row r="2168" spans="22:22">
      <c r="V2168" s="16"/>
    </row>
    <row r="2169" spans="22:22">
      <c r="V2169" s="16"/>
    </row>
    <row r="2170" spans="22:22">
      <c r="V2170" s="16"/>
    </row>
    <row r="2171" spans="22:22">
      <c r="V2171" s="16"/>
    </row>
    <row r="2172" spans="22:22">
      <c r="V2172" s="16"/>
    </row>
    <row r="2173" spans="22:22">
      <c r="V2173" s="16"/>
    </row>
    <row r="2174" spans="22:22">
      <c r="V2174" s="16"/>
    </row>
    <row r="2175" spans="22:22">
      <c r="V2175" s="16"/>
    </row>
    <row r="2176" spans="22:22">
      <c r="V2176" s="16"/>
    </row>
    <row r="2177" spans="22:22">
      <c r="V2177" s="16"/>
    </row>
    <row r="2178" spans="22:22">
      <c r="V2178" s="16"/>
    </row>
    <row r="2179" spans="22:22">
      <c r="V2179" s="16"/>
    </row>
    <row r="2180" spans="22:22">
      <c r="V2180" s="16"/>
    </row>
    <row r="2181" spans="22:22">
      <c r="V2181" s="16"/>
    </row>
    <row r="2182" spans="22:22">
      <c r="V2182" s="16"/>
    </row>
    <row r="2183" spans="22:22">
      <c r="V2183" s="16"/>
    </row>
    <row r="2184" spans="22:22">
      <c r="V2184" s="16"/>
    </row>
    <row r="2185" spans="22:22">
      <c r="V2185" s="16"/>
    </row>
    <row r="2186" spans="22:22">
      <c r="V2186" s="16"/>
    </row>
    <row r="2187" spans="22:22">
      <c r="V2187" s="16"/>
    </row>
    <row r="2188" spans="22:22">
      <c r="V2188" s="16"/>
    </row>
    <row r="2189" spans="22:22">
      <c r="V2189" s="16"/>
    </row>
    <row r="2190" spans="22:22">
      <c r="V2190" s="16"/>
    </row>
    <row r="2191" spans="22:22">
      <c r="V2191" s="16"/>
    </row>
    <row r="2192" spans="22:22">
      <c r="V2192" s="16"/>
    </row>
    <row r="2193" spans="22:22">
      <c r="V2193" s="16"/>
    </row>
    <row r="2194" spans="22:22">
      <c r="V2194" s="16"/>
    </row>
    <row r="2195" spans="22:22">
      <c r="V2195" s="16"/>
    </row>
    <row r="2196" spans="22:22">
      <c r="V2196" s="16"/>
    </row>
    <row r="2197" spans="22:22">
      <c r="V2197" s="16"/>
    </row>
    <row r="2198" spans="22:22">
      <c r="V2198" s="16"/>
    </row>
    <row r="2199" spans="22:22">
      <c r="V2199" s="16"/>
    </row>
    <row r="2200" spans="22:22">
      <c r="V2200" s="16"/>
    </row>
    <row r="2201" spans="22:22">
      <c r="V2201" s="16"/>
    </row>
    <row r="2202" spans="22:22">
      <c r="V2202" s="16"/>
    </row>
    <row r="2203" spans="22:22">
      <c r="V2203" s="16"/>
    </row>
    <row r="2204" spans="22:22">
      <c r="V2204" s="16"/>
    </row>
    <row r="2205" spans="22:22">
      <c r="V2205" s="16"/>
    </row>
    <row r="2206" spans="22:22">
      <c r="V2206" s="16"/>
    </row>
    <row r="2207" spans="22:22">
      <c r="V2207" s="16"/>
    </row>
    <row r="2208" spans="22:22">
      <c r="V2208" s="16"/>
    </row>
    <row r="2209" spans="22:22">
      <c r="V2209" s="16"/>
    </row>
    <row r="2210" spans="22:22">
      <c r="V2210" s="16"/>
    </row>
    <row r="2211" spans="22:22">
      <c r="V2211" s="16"/>
    </row>
    <row r="2212" spans="22:22">
      <c r="V2212" s="16"/>
    </row>
    <row r="2213" spans="22:22">
      <c r="V2213" s="16"/>
    </row>
    <row r="2214" spans="22:22">
      <c r="V2214" s="16"/>
    </row>
    <row r="2215" spans="22:22">
      <c r="V2215" s="16"/>
    </row>
    <row r="2216" spans="22:22">
      <c r="V2216" s="16"/>
    </row>
    <row r="2217" spans="22:22">
      <c r="V2217" s="16"/>
    </row>
    <row r="2218" spans="22:22">
      <c r="V2218" s="16"/>
    </row>
    <row r="2219" spans="22:22">
      <c r="V2219" s="16"/>
    </row>
    <row r="2220" spans="22:22">
      <c r="V2220" s="16"/>
    </row>
    <row r="2221" spans="22:22">
      <c r="V2221" s="16"/>
    </row>
    <row r="2222" spans="22:22">
      <c r="V2222" s="16"/>
    </row>
    <row r="2223" spans="22:22">
      <c r="V2223" s="16"/>
    </row>
    <row r="2224" spans="22:22">
      <c r="V2224" s="16"/>
    </row>
    <row r="2225" spans="22:22">
      <c r="V2225" s="16"/>
    </row>
    <row r="2226" spans="22:22">
      <c r="V2226" s="16"/>
    </row>
    <row r="2227" spans="22:22">
      <c r="V2227" s="16"/>
    </row>
    <row r="2228" spans="22:22">
      <c r="V2228" s="16"/>
    </row>
    <row r="2229" spans="22:22">
      <c r="V2229" s="16"/>
    </row>
    <row r="2230" spans="22:22">
      <c r="V2230" s="16"/>
    </row>
    <row r="2231" spans="22:22">
      <c r="V2231" s="16"/>
    </row>
    <row r="2232" spans="22:22">
      <c r="V2232" s="16"/>
    </row>
    <row r="2233" spans="22:22">
      <c r="V2233" s="16"/>
    </row>
    <row r="2234" spans="22:22">
      <c r="V2234" s="16"/>
    </row>
    <row r="2235" spans="22:22">
      <c r="V2235" s="16"/>
    </row>
    <row r="2236" spans="22:22">
      <c r="V2236" s="16"/>
    </row>
    <row r="2237" spans="22:22">
      <c r="V2237" s="16"/>
    </row>
    <row r="2238" spans="22:22">
      <c r="V2238" s="16"/>
    </row>
    <row r="2239" spans="22:22">
      <c r="V2239" s="16"/>
    </row>
    <row r="2240" spans="22:22">
      <c r="V2240" s="16"/>
    </row>
    <row r="2241" spans="22:22">
      <c r="V2241" s="16"/>
    </row>
    <row r="2242" spans="22:22">
      <c r="V2242" s="16"/>
    </row>
    <row r="2243" spans="22:22">
      <c r="V2243" s="16"/>
    </row>
    <row r="2244" spans="22:22">
      <c r="V2244" s="16"/>
    </row>
    <row r="2245" spans="22:22">
      <c r="V2245" s="16"/>
    </row>
    <row r="2246" spans="22:22">
      <c r="V2246" s="16"/>
    </row>
    <row r="2247" spans="22:22">
      <c r="V2247" s="16"/>
    </row>
    <row r="2248" spans="22:22">
      <c r="V2248" s="16"/>
    </row>
    <row r="2249" spans="22:22">
      <c r="V2249" s="16"/>
    </row>
    <row r="2250" spans="22:22">
      <c r="V2250" s="16"/>
    </row>
    <row r="2251" spans="22:22">
      <c r="V2251" s="16"/>
    </row>
    <row r="2252" spans="22:22">
      <c r="V2252" s="16"/>
    </row>
    <row r="2253" spans="22:22">
      <c r="V2253" s="16"/>
    </row>
    <row r="2254" spans="22:22">
      <c r="V2254" s="16"/>
    </row>
    <row r="2255" spans="22:22">
      <c r="V2255" s="16"/>
    </row>
    <row r="2256" spans="22:22">
      <c r="V2256" s="16"/>
    </row>
    <row r="2257" spans="22:22">
      <c r="V2257" s="16"/>
    </row>
    <row r="2258" spans="22:22">
      <c r="V2258" s="16"/>
    </row>
    <row r="2259" spans="22:22">
      <c r="V2259" s="16"/>
    </row>
    <row r="2260" spans="22:22">
      <c r="V2260" s="16"/>
    </row>
    <row r="2261" spans="22:22">
      <c r="V2261" s="16"/>
    </row>
    <row r="2262" spans="22:22">
      <c r="V2262" s="16"/>
    </row>
    <row r="2263" spans="22:22">
      <c r="V2263" s="16"/>
    </row>
    <row r="2264" spans="22:22">
      <c r="V2264" s="16"/>
    </row>
    <row r="2265" spans="22:22">
      <c r="V2265" s="16"/>
    </row>
    <row r="2266" spans="22:22">
      <c r="V2266" s="16"/>
    </row>
    <row r="2267" spans="22:22">
      <c r="V2267" s="16"/>
    </row>
    <row r="2268" spans="22:22">
      <c r="V2268" s="16"/>
    </row>
    <row r="2269" spans="22:22">
      <c r="V2269" s="16"/>
    </row>
    <row r="2270" spans="22:22">
      <c r="V2270" s="16"/>
    </row>
    <row r="2271" spans="22:22">
      <c r="V2271" s="16"/>
    </row>
    <row r="2272" spans="22:22">
      <c r="V2272" s="16"/>
    </row>
    <row r="2273" spans="22:22">
      <c r="V2273" s="16"/>
    </row>
    <row r="2274" spans="22:22">
      <c r="V2274" s="16"/>
    </row>
    <row r="2275" spans="22:22">
      <c r="V2275" s="16"/>
    </row>
    <row r="2276" spans="22:22">
      <c r="V2276" s="16"/>
    </row>
    <row r="2277" spans="22:22">
      <c r="V2277" s="16"/>
    </row>
    <row r="2278" spans="22:22">
      <c r="V2278" s="16"/>
    </row>
    <row r="2279" spans="22:22">
      <c r="V2279" s="16"/>
    </row>
    <row r="2280" spans="22:22">
      <c r="V2280" s="16"/>
    </row>
    <row r="2281" spans="22:22">
      <c r="V2281" s="16"/>
    </row>
    <row r="2282" spans="22:22">
      <c r="V2282" s="16"/>
    </row>
    <row r="2283" spans="22:22">
      <c r="V2283" s="16"/>
    </row>
    <row r="2284" spans="22:22">
      <c r="V2284" s="16"/>
    </row>
    <row r="2285" spans="22:22">
      <c r="V2285" s="16"/>
    </row>
    <row r="2286" spans="22:22">
      <c r="V2286" s="16"/>
    </row>
    <row r="2287" spans="22:22">
      <c r="V2287" s="16"/>
    </row>
    <row r="2288" spans="22:22">
      <c r="V2288" s="16"/>
    </row>
    <row r="2289" spans="22:22">
      <c r="V2289" s="16"/>
    </row>
    <row r="2290" spans="22:22">
      <c r="V2290" s="16"/>
    </row>
    <row r="2291" spans="22:22">
      <c r="V2291" s="16"/>
    </row>
    <row r="2292" spans="22:22">
      <c r="V2292" s="16"/>
    </row>
    <row r="2293" spans="22:22">
      <c r="V2293" s="16"/>
    </row>
    <row r="2294" spans="22:22">
      <c r="V2294" s="16"/>
    </row>
    <row r="2295" spans="22:22">
      <c r="V2295" s="16"/>
    </row>
    <row r="2296" spans="22:22">
      <c r="V2296" s="16"/>
    </row>
    <row r="2297" spans="22:22">
      <c r="V2297" s="16"/>
    </row>
    <row r="2298" spans="22:22">
      <c r="V2298" s="16"/>
    </row>
    <row r="2299" spans="22:22">
      <c r="V2299" s="16"/>
    </row>
    <row r="2300" spans="22:22">
      <c r="V2300" s="16"/>
    </row>
    <row r="2301" spans="22:22">
      <c r="V2301" s="16"/>
    </row>
    <row r="2302" spans="22:22">
      <c r="V2302" s="16"/>
    </row>
    <row r="2303" spans="22:22">
      <c r="V2303" s="16"/>
    </row>
    <row r="2304" spans="22:22">
      <c r="V2304" s="16"/>
    </row>
    <row r="2305" spans="22:22">
      <c r="V2305" s="16"/>
    </row>
    <row r="2306" spans="22:22">
      <c r="V2306" s="16"/>
    </row>
    <row r="2307" spans="22:22">
      <c r="V2307" s="16"/>
    </row>
    <row r="2308" spans="22:22">
      <c r="V2308" s="16"/>
    </row>
    <row r="2309" spans="22:22">
      <c r="V2309" s="16"/>
    </row>
    <row r="2310" spans="22:22">
      <c r="V2310" s="16"/>
    </row>
    <row r="2311" spans="22:22">
      <c r="V2311" s="16"/>
    </row>
    <row r="2312" spans="22:22">
      <c r="V2312" s="16"/>
    </row>
    <row r="2313" spans="22:22">
      <c r="V2313" s="16"/>
    </row>
    <row r="2314" spans="22:22">
      <c r="V2314" s="16"/>
    </row>
    <row r="2315" spans="22:22">
      <c r="V2315" s="16"/>
    </row>
    <row r="2316" spans="22:22">
      <c r="V2316" s="16"/>
    </row>
    <row r="2317" spans="22:22">
      <c r="V2317" s="16"/>
    </row>
    <row r="2318" spans="22:22">
      <c r="V2318" s="16"/>
    </row>
    <row r="2319" spans="22:22">
      <c r="V2319" s="16"/>
    </row>
    <row r="2320" spans="22:22">
      <c r="V2320" s="16"/>
    </row>
    <row r="2321" spans="22:22">
      <c r="V2321" s="16"/>
    </row>
    <row r="2322" spans="22:22">
      <c r="V2322" s="16"/>
    </row>
    <row r="2323" spans="22:22">
      <c r="V2323" s="16"/>
    </row>
    <row r="2324" spans="22:22">
      <c r="V2324" s="16"/>
    </row>
    <row r="2325" spans="22:22">
      <c r="V2325" s="16"/>
    </row>
    <row r="2326" spans="22:22">
      <c r="V2326" s="16"/>
    </row>
    <row r="2327" spans="22:22">
      <c r="V2327" s="16"/>
    </row>
    <row r="2328" spans="22:22">
      <c r="V2328" s="16"/>
    </row>
    <row r="2329" spans="22:22">
      <c r="V2329" s="16"/>
    </row>
    <row r="2330" spans="22:22">
      <c r="V2330" s="16"/>
    </row>
    <row r="2331" spans="22:22">
      <c r="V2331" s="16"/>
    </row>
    <row r="2332" spans="22:22">
      <c r="V2332" s="16"/>
    </row>
    <row r="2333" spans="22:22">
      <c r="V2333" s="16"/>
    </row>
    <row r="2334" spans="22:22">
      <c r="V2334" s="16"/>
    </row>
    <row r="2335" spans="22:22">
      <c r="V2335" s="16"/>
    </row>
    <row r="2336" spans="22:22">
      <c r="V2336" s="16"/>
    </row>
    <row r="2337" spans="22:22">
      <c r="V2337" s="16"/>
    </row>
    <row r="2338" spans="22:22">
      <c r="V2338" s="16"/>
    </row>
    <row r="2339" spans="22:22">
      <c r="V2339" s="16"/>
    </row>
    <row r="2340" spans="22:22">
      <c r="V2340" s="16"/>
    </row>
    <row r="2341" spans="22:22">
      <c r="V2341" s="16"/>
    </row>
    <row r="2342" spans="22:22">
      <c r="V2342" s="16"/>
    </row>
    <row r="2343" spans="22:22">
      <c r="V2343" s="16"/>
    </row>
    <row r="2344" spans="22:22">
      <c r="V2344" s="16"/>
    </row>
    <row r="2345" spans="22:22">
      <c r="V2345" s="16"/>
    </row>
    <row r="2346" spans="22:22">
      <c r="V2346" s="16"/>
    </row>
    <row r="2347" spans="22:22">
      <c r="V2347" s="16"/>
    </row>
    <row r="2348" spans="22:22">
      <c r="V2348" s="16"/>
    </row>
    <row r="2349" spans="22:22">
      <c r="V2349" s="16"/>
    </row>
    <row r="2350" spans="22:22">
      <c r="V2350" s="16"/>
    </row>
    <row r="2351" spans="22:22">
      <c r="V2351" s="16"/>
    </row>
    <row r="2352" spans="22:22">
      <c r="V2352" s="16"/>
    </row>
    <row r="2353" spans="22:22">
      <c r="V2353" s="16"/>
    </row>
    <row r="2354" spans="22:22">
      <c r="V2354" s="16"/>
    </row>
    <row r="2355" spans="22:22">
      <c r="V2355" s="16"/>
    </row>
    <row r="2356" spans="22:22">
      <c r="V2356" s="16"/>
    </row>
    <row r="2357" spans="22:22">
      <c r="V2357" s="16"/>
    </row>
    <row r="2358" spans="22:22">
      <c r="V2358" s="16"/>
    </row>
    <row r="2359" spans="22:22">
      <c r="V2359" s="16"/>
    </row>
    <row r="2360" spans="22:22">
      <c r="V2360" s="16"/>
    </row>
    <row r="2361" spans="22:22">
      <c r="V2361" s="16"/>
    </row>
    <row r="2362" spans="22:22">
      <c r="V2362" s="16"/>
    </row>
    <row r="2363" spans="22:22">
      <c r="V2363" s="16"/>
    </row>
    <row r="2364" spans="22:22">
      <c r="V2364" s="16"/>
    </row>
    <row r="2365" spans="22:22">
      <c r="V2365" s="16"/>
    </row>
    <row r="2366" spans="22:22">
      <c r="V2366" s="16"/>
    </row>
    <row r="2367" spans="22:22">
      <c r="V2367" s="16"/>
    </row>
    <row r="2368" spans="22:22">
      <c r="V2368" s="16"/>
    </row>
    <row r="2369" spans="22:22">
      <c r="V2369" s="16"/>
    </row>
    <row r="2370" spans="22:22">
      <c r="V2370" s="16"/>
    </row>
    <row r="2371" spans="22:22">
      <c r="V2371" s="16"/>
    </row>
    <row r="2372" spans="22:22">
      <c r="V2372" s="16"/>
    </row>
    <row r="2373" spans="22:22">
      <c r="V2373" s="16"/>
    </row>
    <row r="2374" spans="22:22">
      <c r="V2374" s="16"/>
    </row>
    <row r="2375" spans="22:22">
      <c r="V2375" s="16"/>
    </row>
    <row r="2376" spans="22:22">
      <c r="V2376" s="16"/>
    </row>
    <row r="2377" spans="22:22">
      <c r="V2377" s="16"/>
    </row>
    <row r="2378" spans="22:22">
      <c r="V2378" s="16"/>
    </row>
    <row r="2379" spans="22:22">
      <c r="V2379" s="16"/>
    </row>
    <row r="2380" spans="22:22">
      <c r="V2380" s="16"/>
    </row>
    <row r="2381" spans="22:22">
      <c r="V2381" s="16"/>
    </row>
    <row r="2382" spans="22:22">
      <c r="V2382" s="16"/>
    </row>
    <row r="2383" spans="22:22">
      <c r="V2383" s="16"/>
    </row>
    <row r="2384" spans="22:22">
      <c r="V2384" s="16"/>
    </row>
    <row r="2385" spans="22:22">
      <c r="V2385" s="16"/>
    </row>
    <row r="2386" spans="22:22">
      <c r="V2386" s="16"/>
    </row>
    <row r="2387" spans="22:22">
      <c r="V2387" s="16"/>
    </row>
    <row r="2388" spans="22:22">
      <c r="V2388" s="16"/>
    </row>
    <row r="2389" spans="22:22">
      <c r="V2389" s="16"/>
    </row>
    <row r="2390" spans="22:22">
      <c r="V2390" s="16"/>
    </row>
    <row r="2391" spans="22:22">
      <c r="V2391" s="16"/>
    </row>
    <row r="2392" spans="22:22">
      <c r="V2392" s="16"/>
    </row>
    <row r="2393" spans="22:22">
      <c r="V2393" s="16"/>
    </row>
    <row r="2394" spans="22:22">
      <c r="V2394" s="16"/>
    </row>
    <row r="2395" spans="22:22">
      <c r="V2395" s="16"/>
    </row>
    <row r="2396" spans="22:22">
      <c r="V2396" s="16"/>
    </row>
    <row r="2397" spans="22:22">
      <c r="V2397" s="16"/>
    </row>
    <row r="2398" spans="22:22">
      <c r="V2398" s="16"/>
    </row>
    <row r="2399" spans="22:22">
      <c r="V2399" s="16"/>
    </row>
    <row r="2400" spans="22:22">
      <c r="V2400" s="16"/>
    </row>
    <row r="2401" spans="22:22">
      <c r="V2401" s="16"/>
    </row>
    <row r="2402" spans="22:22">
      <c r="V2402" s="16"/>
    </row>
    <row r="2403" spans="22:22">
      <c r="V2403" s="16"/>
    </row>
    <row r="2404" spans="22:22">
      <c r="V2404" s="16"/>
    </row>
    <row r="2405" spans="22:22">
      <c r="V2405" s="16"/>
    </row>
    <row r="2406" spans="22:22">
      <c r="V2406" s="16"/>
    </row>
    <row r="2407" spans="22:22">
      <c r="V2407" s="16"/>
    </row>
    <row r="2408" spans="22:22">
      <c r="V2408" s="16"/>
    </row>
    <row r="2409" spans="22:22">
      <c r="V2409" s="16"/>
    </row>
    <row r="2410" spans="22:22">
      <c r="V2410" s="16"/>
    </row>
    <row r="2411" spans="22:22">
      <c r="V2411" s="16"/>
    </row>
    <row r="2412" spans="22:22">
      <c r="V2412" s="16"/>
    </row>
    <row r="2413" spans="22:22">
      <c r="V2413" s="16"/>
    </row>
    <row r="2414" spans="22:22">
      <c r="V2414" s="16"/>
    </row>
    <row r="2415" spans="22:22">
      <c r="V2415" s="16"/>
    </row>
    <row r="2416" spans="22:22">
      <c r="V2416" s="16"/>
    </row>
    <row r="2417" spans="22:22">
      <c r="V2417" s="16"/>
    </row>
    <row r="2418" spans="22:22">
      <c r="V2418" s="16"/>
    </row>
    <row r="2419" spans="22:22">
      <c r="V2419" s="16"/>
    </row>
    <row r="2420" spans="22:22">
      <c r="V2420" s="16"/>
    </row>
    <row r="2421" spans="22:22">
      <c r="V2421" s="16"/>
    </row>
    <row r="2422" spans="22:22">
      <c r="V2422" s="16"/>
    </row>
    <row r="2423" spans="22:22">
      <c r="V2423" s="16"/>
    </row>
    <row r="2424" spans="22:22">
      <c r="V2424" s="16"/>
    </row>
    <row r="2425" spans="22:22">
      <c r="V2425" s="16"/>
    </row>
    <row r="2426" spans="22:22">
      <c r="V2426" s="16"/>
    </row>
    <row r="2427" spans="22:22">
      <c r="V2427" s="16"/>
    </row>
    <row r="2428" spans="22:22">
      <c r="V2428" s="16"/>
    </row>
    <row r="2429" spans="22:22">
      <c r="V2429" s="16"/>
    </row>
    <row r="2430" spans="22:22">
      <c r="V2430" s="16"/>
    </row>
    <row r="2431" spans="22:22">
      <c r="V2431" s="16"/>
    </row>
    <row r="2432" spans="22:22">
      <c r="V2432" s="16"/>
    </row>
    <row r="2433" spans="22:22">
      <c r="V2433" s="16"/>
    </row>
    <row r="2434" spans="22:22">
      <c r="V2434" s="16"/>
    </row>
    <row r="2435" spans="22:22">
      <c r="V2435" s="16"/>
    </row>
    <row r="2436" spans="22:22">
      <c r="V2436" s="16"/>
    </row>
    <row r="2437" spans="22:22">
      <c r="V2437" s="16"/>
    </row>
    <row r="2438" spans="22:22">
      <c r="V2438" s="16"/>
    </row>
    <row r="2439" spans="22:22">
      <c r="V2439" s="16"/>
    </row>
    <row r="2440" spans="22:22">
      <c r="V2440" s="16"/>
    </row>
    <row r="2441" spans="22:22">
      <c r="V2441" s="16"/>
    </row>
    <row r="2442" spans="22:22">
      <c r="V2442" s="16"/>
    </row>
    <row r="2443" spans="22:22">
      <c r="V2443" s="16"/>
    </row>
    <row r="2444" spans="22:22">
      <c r="V2444" s="16"/>
    </row>
    <row r="2445" spans="22:22">
      <c r="V2445" s="16"/>
    </row>
    <row r="2446" spans="22:22">
      <c r="V2446" s="16"/>
    </row>
    <row r="2447" spans="22:22">
      <c r="V2447" s="16"/>
    </row>
    <row r="2448" spans="22:22">
      <c r="V2448" s="16"/>
    </row>
    <row r="2449" spans="22:22">
      <c r="V2449" s="16"/>
    </row>
    <row r="2450" spans="22:22">
      <c r="V2450" s="16"/>
    </row>
    <row r="2451" spans="22:22">
      <c r="V2451" s="16"/>
    </row>
    <row r="2452" spans="22:22">
      <c r="V2452" s="16"/>
    </row>
    <row r="2453" spans="22:22">
      <c r="V2453" s="16"/>
    </row>
    <row r="2454" spans="22:22">
      <c r="V2454" s="16"/>
    </row>
    <row r="2455" spans="22:22">
      <c r="V2455" s="16"/>
    </row>
    <row r="2456" spans="22:22">
      <c r="V2456" s="16"/>
    </row>
    <row r="2457" spans="22:22">
      <c r="V2457" s="16"/>
    </row>
    <row r="2458" spans="22:22">
      <c r="V2458" s="16"/>
    </row>
    <row r="2459" spans="22:22">
      <c r="V2459" s="16"/>
    </row>
    <row r="2460" spans="22:22">
      <c r="V2460" s="16"/>
    </row>
    <row r="2461" spans="22:22">
      <c r="V2461" s="16"/>
    </row>
    <row r="2462" spans="22:22">
      <c r="V2462" s="16"/>
    </row>
    <row r="2463" spans="22:22">
      <c r="V2463" s="16"/>
    </row>
    <row r="2464" spans="22:22">
      <c r="V2464" s="16"/>
    </row>
    <row r="2465" spans="22:22">
      <c r="V2465" s="16"/>
    </row>
    <row r="2466" spans="22:22">
      <c r="V2466" s="16"/>
    </row>
    <row r="2467" spans="22:22">
      <c r="V2467" s="16"/>
    </row>
    <row r="2468" spans="22:22">
      <c r="V2468" s="16"/>
    </row>
    <row r="2469" spans="22:22">
      <c r="V2469" s="16"/>
    </row>
    <row r="2470" spans="22:22">
      <c r="V2470" s="16"/>
    </row>
    <row r="2471" spans="22:22">
      <c r="V2471" s="16"/>
    </row>
    <row r="2472" spans="22:22">
      <c r="V2472" s="16"/>
    </row>
    <row r="2473" spans="22:22">
      <c r="V2473" s="16"/>
    </row>
    <row r="2474" spans="22:22">
      <c r="V2474" s="16"/>
    </row>
    <row r="2475" spans="22:22">
      <c r="V2475" s="16"/>
    </row>
    <row r="2476" spans="22:22">
      <c r="V2476" s="16"/>
    </row>
    <row r="2477" spans="22:22">
      <c r="V2477" s="16"/>
    </row>
    <row r="2478" spans="22:22">
      <c r="V2478" s="16"/>
    </row>
    <row r="2479" spans="22:22">
      <c r="V2479" s="16"/>
    </row>
    <row r="2480" spans="22:22">
      <c r="V2480" s="16"/>
    </row>
    <row r="2481" spans="22:22">
      <c r="V2481" s="16"/>
    </row>
    <row r="2482" spans="22:22">
      <c r="V2482" s="16"/>
    </row>
    <row r="2483" spans="22:22">
      <c r="V2483" s="16"/>
    </row>
    <row r="2484" spans="22:22">
      <c r="V2484" s="16"/>
    </row>
    <row r="2485" spans="22:22">
      <c r="V2485" s="16"/>
    </row>
    <row r="2486" spans="22:22">
      <c r="V2486" s="16"/>
    </row>
    <row r="2487" spans="22:22">
      <c r="V2487" s="16"/>
    </row>
    <row r="2488" spans="22:22">
      <c r="V2488" s="16"/>
    </row>
    <row r="2489" spans="22:22">
      <c r="V2489" s="16"/>
    </row>
    <row r="2490" spans="22:22">
      <c r="V2490" s="16"/>
    </row>
    <row r="2491" spans="22:22">
      <c r="V2491" s="16"/>
    </row>
    <row r="2492" spans="22:22">
      <c r="V2492" s="16"/>
    </row>
    <row r="2493" spans="22:22">
      <c r="V2493" s="16"/>
    </row>
    <row r="2494" spans="22:22">
      <c r="V2494" s="16"/>
    </row>
    <row r="2495" spans="22:22">
      <c r="V2495" s="16"/>
    </row>
    <row r="2496" spans="22:22">
      <c r="V2496" s="16"/>
    </row>
    <row r="2497" spans="22:22">
      <c r="V2497" s="16"/>
    </row>
    <row r="2498" spans="22:22">
      <c r="V2498" s="16"/>
    </row>
    <row r="2499" spans="22:22">
      <c r="V2499" s="16"/>
    </row>
    <row r="2500" spans="22:22">
      <c r="V2500" s="16"/>
    </row>
    <row r="2501" spans="22:22">
      <c r="V2501" s="16"/>
    </row>
    <row r="2502" spans="22:22">
      <c r="V2502" s="16"/>
    </row>
    <row r="2503" spans="22:22">
      <c r="V2503" s="16"/>
    </row>
    <row r="2504" spans="22:22">
      <c r="V2504" s="16"/>
    </row>
    <row r="2505" spans="22:22">
      <c r="V2505" s="16"/>
    </row>
    <row r="2506" spans="22:22">
      <c r="V2506" s="16"/>
    </row>
    <row r="2507" spans="22:22">
      <c r="V2507" s="16"/>
    </row>
    <row r="2508" spans="22:22">
      <c r="V2508" s="16"/>
    </row>
    <row r="2509" spans="22:22">
      <c r="V2509" s="16"/>
    </row>
    <row r="2510" spans="22:22">
      <c r="V2510" s="16"/>
    </row>
    <row r="2511" spans="22:22">
      <c r="V2511" s="16"/>
    </row>
    <row r="2512" spans="22:22">
      <c r="V2512" s="16"/>
    </row>
    <row r="2513" spans="22:22">
      <c r="V2513" s="16"/>
    </row>
    <row r="2514" spans="22:22">
      <c r="V2514" s="16"/>
    </row>
    <row r="2515" spans="22:22">
      <c r="V2515" s="16"/>
    </row>
    <row r="2516" spans="22:22">
      <c r="V2516" s="16"/>
    </row>
    <row r="2517" spans="22:22">
      <c r="V2517" s="16"/>
    </row>
    <row r="2518" spans="22:22">
      <c r="V2518" s="16"/>
    </row>
    <row r="2519" spans="22:22">
      <c r="V2519" s="16"/>
    </row>
    <row r="2520" spans="22:22">
      <c r="V2520" s="16"/>
    </row>
    <row r="2521" spans="22:22">
      <c r="V2521" s="16"/>
    </row>
    <row r="2522" spans="22:22">
      <c r="V2522" s="16"/>
    </row>
    <row r="2523" spans="22:22">
      <c r="V2523" s="16"/>
    </row>
    <row r="2524" spans="22:22">
      <c r="V2524" s="16"/>
    </row>
    <row r="2525" spans="22:22">
      <c r="V2525" s="16"/>
    </row>
    <row r="2526" spans="22:22">
      <c r="V2526" s="16"/>
    </row>
    <row r="2527" spans="22:22">
      <c r="V2527" s="16"/>
    </row>
    <row r="2528" spans="22:22">
      <c r="V2528" s="16"/>
    </row>
    <row r="2529" spans="22:22">
      <c r="V2529" s="16"/>
    </row>
    <row r="2530" spans="22:22">
      <c r="V2530" s="16"/>
    </row>
    <row r="2531" spans="22:22">
      <c r="V2531" s="16"/>
    </row>
    <row r="2532" spans="22:22">
      <c r="V2532" s="16"/>
    </row>
    <row r="2533" spans="22:22">
      <c r="V2533" s="16"/>
    </row>
    <row r="2534" spans="22:22">
      <c r="V2534" s="16"/>
    </row>
    <row r="2535" spans="22:22">
      <c r="V2535" s="16"/>
    </row>
    <row r="2536" spans="22:22">
      <c r="V2536" s="16"/>
    </row>
    <row r="2537" spans="22:22">
      <c r="V2537" s="16"/>
    </row>
    <row r="2538" spans="22:22">
      <c r="V2538" s="16"/>
    </row>
    <row r="2539" spans="22:22">
      <c r="V2539" s="16"/>
    </row>
    <row r="2540" spans="22:22">
      <c r="V2540" s="16"/>
    </row>
    <row r="2541" spans="22:22">
      <c r="V2541" s="16"/>
    </row>
    <row r="2542" spans="22:22">
      <c r="V2542" s="16"/>
    </row>
    <row r="2543" spans="22:22">
      <c r="V2543" s="16"/>
    </row>
    <row r="2544" spans="22:22">
      <c r="V2544" s="16"/>
    </row>
    <row r="2545" spans="22:22">
      <c r="V2545" s="16"/>
    </row>
    <row r="2546" spans="22:22">
      <c r="V2546" s="16"/>
    </row>
    <row r="2547" spans="22:22">
      <c r="V2547" s="16"/>
    </row>
    <row r="2548" spans="22:22">
      <c r="V2548" s="16"/>
    </row>
    <row r="2549" spans="22:22">
      <c r="V2549" s="16"/>
    </row>
    <row r="2550" spans="22:22">
      <c r="V2550" s="16"/>
    </row>
    <row r="2551" spans="22:22">
      <c r="V2551" s="16"/>
    </row>
    <row r="2552" spans="22:22">
      <c r="V2552" s="16"/>
    </row>
    <row r="2553" spans="22:22">
      <c r="V2553" s="16"/>
    </row>
    <row r="2554" spans="22:22">
      <c r="V2554" s="16"/>
    </row>
    <row r="2555" spans="22:22">
      <c r="V2555" s="16"/>
    </row>
    <row r="2556" spans="22:22">
      <c r="V2556" s="16"/>
    </row>
    <row r="2557" spans="22:22">
      <c r="V2557" s="16"/>
    </row>
    <row r="2558" spans="22:22">
      <c r="V2558" s="16"/>
    </row>
    <row r="2559" spans="22:22">
      <c r="V2559" s="16"/>
    </row>
    <row r="2560" spans="22:22">
      <c r="V2560" s="16"/>
    </row>
    <row r="2561" spans="22:22">
      <c r="V2561" s="16"/>
    </row>
    <row r="2562" spans="22:22">
      <c r="V2562" s="16"/>
    </row>
    <row r="2563" spans="22:22">
      <c r="V2563" s="16"/>
    </row>
    <row r="2564" spans="22:22">
      <c r="V2564" s="16"/>
    </row>
    <row r="2565" spans="22:22">
      <c r="V2565" s="16"/>
    </row>
    <row r="2566" spans="22:22">
      <c r="V2566" s="16"/>
    </row>
    <row r="2567" spans="22:22">
      <c r="V2567" s="16"/>
    </row>
    <row r="2568" spans="22:22">
      <c r="V2568" s="16"/>
    </row>
    <row r="2569" spans="22:22">
      <c r="V2569" s="16"/>
    </row>
    <row r="2570" spans="22:22">
      <c r="V2570" s="16"/>
    </row>
    <row r="2571" spans="22:22">
      <c r="V2571" s="16"/>
    </row>
    <row r="2572" spans="22:22">
      <c r="V2572" s="16"/>
    </row>
    <row r="2573" spans="22:22">
      <c r="V2573" s="16"/>
    </row>
    <row r="2574" spans="22:22">
      <c r="V2574" s="16"/>
    </row>
    <row r="2575" spans="22:22">
      <c r="V2575" s="16"/>
    </row>
    <row r="2576" spans="22:22">
      <c r="V2576" s="16"/>
    </row>
    <row r="2577" spans="22:22">
      <c r="V2577" s="16"/>
    </row>
    <row r="2578" spans="22:22">
      <c r="V2578" s="16"/>
    </row>
    <row r="2579" spans="22:22">
      <c r="V2579" s="16"/>
    </row>
    <row r="2580" spans="22:22">
      <c r="V2580" s="16"/>
    </row>
    <row r="2581" spans="22:22">
      <c r="V2581" s="16"/>
    </row>
    <row r="2582" spans="22:22">
      <c r="V2582" s="16"/>
    </row>
    <row r="2583" spans="22:22">
      <c r="V2583" s="16"/>
    </row>
    <row r="2584" spans="22:22">
      <c r="V2584" s="16"/>
    </row>
    <row r="2585" spans="22:22">
      <c r="V2585" s="16"/>
    </row>
    <row r="2586" spans="22:22">
      <c r="V2586" s="16"/>
    </row>
    <row r="2587" spans="22:22">
      <c r="V2587" s="16"/>
    </row>
    <row r="2588" spans="22:22">
      <c r="V2588" s="16"/>
    </row>
    <row r="2589" spans="22:22">
      <c r="V2589" s="16"/>
    </row>
    <row r="2590" spans="22:22">
      <c r="V2590" s="16"/>
    </row>
    <row r="2591" spans="22:22">
      <c r="V2591" s="16"/>
    </row>
    <row r="2592" spans="22:22">
      <c r="V2592" s="16"/>
    </row>
    <row r="2593" spans="22:22">
      <c r="V2593" s="16"/>
    </row>
    <row r="2594" spans="22:22">
      <c r="V2594" s="16"/>
    </row>
    <row r="2595" spans="22:22">
      <c r="V2595" s="16"/>
    </row>
    <row r="2596" spans="22:22">
      <c r="V2596" s="16"/>
    </row>
    <row r="2597" spans="22:22">
      <c r="V2597" s="16"/>
    </row>
    <row r="2598" spans="22:22">
      <c r="V2598" s="16"/>
    </row>
    <row r="2599" spans="22:22">
      <c r="V2599" s="16"/>
    </row>
    <row r="2600" spans="22:22">
      <c r="V2600" s="16"/>
    </row>
    <row r="2601" spans="22:22">
      <c r="V2601" s="16"/>
    </row>
    <row r="2602" spans="22:22">
      <c r="V2602" s="16"/>
    </row>
    <row r="2603" spans="22:22">
      <c r="V2603" s="16"/>
    </row>
    <row r="2604" spans="22:22">
      <c r="V2604" s="16"/>
    </row>
    <row r="2605" spans="22:22">
      <c r="V2605" s="16"/>
    </row>
    <row r="2606" spans="22:22">
      <c r="V2606" s="16"/>
    </row>
    <row r="2607" spans="22:22">
      <c r="V2607" s="16"/>
    </row>
    <row r="2608" spans="22:22">
      <c r="V2608" s="16"/>
    </row>
    <row r="2609" spans="22:22">
      <c r="V2609" s="16"/>
    </row>
    <row r="2610" spans="22:22">
      <c r="V2610" s="16"/>
    </row>
    <row r="2611" spans="22:22">
      <c r="V2611" s="16"/>
    </row>
    <row r="2612" spans="22:22">
      <c r="V2612" s="16"/>
    </row>
    <row r="2613" spans="22:22">
      <c r="V2613" s="16"/>
    </row>
    <row r="2614" spans="22:22">
      <c r="V2614" s="16"/>
    </row>
    <row r="2615" spans="22:22">
      <c r="V2615" s="16"/>
    </row>
    <row r="2616" spans="22:22">
      <c r="V2616" s="16"/>
    </row>
    <row r="2617" spans="22:22">
      <c r="V2617" s="16"/>
    </row>
    <row r="2618" spans="22:22">
      <c r="V2618" s="16"/>
    </row>
    <row r="2619" spans="22:22">
      <c r="V2619" s="16"/>
    </row>
    <row r="2620" spans="22:22">
      <c r="V2620" s="16"/>
    </row>
    <row r="2621" spans="22:22">
      <c r="V2621" s="16"/>
    </row>
    <row r="2622" spans="22:22">
      <c r="V2622" s="16"/>
    </row>
    <row r="2623" spans="22:22">
      <c r="V2623" s="16"/>
    </row>
    <row r="2624" spans="22:22">
      <c r="V2624" s="16"/>
    </row>
    <row r="2625" spans="22:22">
      <c r="V2625" s="16"/>
    </row>
    <row r="2626" spans="22:22">
      <c r="V2626" s="16"/>
    </row>
    <row r="2627" spans="22:22">
      <c r="V2627" s="16"/>
    </row>
    <row r="2628" spans="22:22">
      <c r="V2628" s="16"/>
    </row>
    <row r="2629" spans="22:22">
      <c r="V2629" s="16"/>
    </row>
    <row r="2630" spans="22:22">
      <c r="V2630" s="16"/>
    </row>
    <row r="2631" spans="22:22">
      <c r="V2631" s="16"/>
    </row>
    <row r="2632" spans="22:22">
      <c r="V2632" s="16"/>
    </row>
    <row r="2633" spans="22:22">
      <c r="V2633" s="16"/>
    </row>
    <row r="2634" spans="22:22">
      <c r="V2634" s="16"/>
    </row>
    <row r="2635" spans="22:22">
      <c r="V2635" s="16"/>
    </row>
    <row r="2636" spans="22:22">
      <c r="V2636" s="16"/>
    </row>
    <row r="2637" spans="22:22">
      <c r="V2637" s="16"/>
    </row>
    <row r="2638" spans="22:22">
      <c r="V2638" s="16"/>
    </row>
    <row r="2639" spans="22:22">
      <c r="V2639" s="16"/>
    </row>
    <row r="2640" spans="22:22">
      <c r="V2640" s="16"/>
    </row>
    <row r="2641" spans="22:22">
      <c r="V2641" s="16"/>
    </row>
    <row r="2642" spans="22:22">
      <c r="V2642" s="16"/>
    </row>
    <row r="2643" spans="22:22">
      <c r="V2643" s="16"/>
    </row>
    <row r="2644" spans="22:22">
      <c r="V2644" s="16"/>
    </row>
    <row r="2645" spans="22:22">
      <c r="V2645" s="16"/>
    </row>
    <row r="2646" spans="22:22">
      <c r="V2646" s="16"/>
    </row>
    <row r="2647" spans="22:22">
      <c r="V2647" s="16"/>
    </row>
    <row r="2648" spans="22:22">
      <c r="V2648" s="16"/>
    </row>
    <row r="2649" spans="22:22">
      <c r="V2649" s="16"/>
    </row>
    <row r="2650" spans="22:22">
      <c r="V2650" s="16"/>
    </row>
    <row r="2651" spans="22:22">
      <c r="V2651" s="16"/>
    </row>
    <row r="2652" spans="22:22">
      <c r="V2652" s="16"/>
    </row>
    <row r="2653" spans="22:22">
      <c r="V2653" s="16"/>
    </row>
    <row r="2654" spans="22:22">
      <c r="V2654" s="16"/>
    </row>
    <row r="2655" spans="22:22">
      <c r="V2655" s="16"/>
    </row>
    <row r="2656" spans="22:22">
      <c r="V2656" s="16"/>
    </row>
    <row r="2657" spans="22:22">
      <c r="V2657" s="16"/>
    </row>
    <row r="2658" spans="22:22">
      <c r="V2658" s="16"/>
    </row>
    <row r="2659" spans="22:22">
      <c r="V2659" s="16"/>
    </row>
    <row r="2660" spans="22:22">
      <c r="V2660" s="16"/>
    </row>
    <row r="2661" spans="22:22">
      <c r="V2661" s="16"/>
    </row>
    <row r="2662" spans="22:22">
      <c r="V2662" s="16"/>
    </row>
    <row r="2663" spans="22:22">
      <c r="V2663" s="16"/>
    </row>
    <row r="2664" spans="22:22">
      <c r="V2664" s="16"/>
    </row>
    <row r="2665" spans="22:22">
      <c r="V2665" s="16"/>
    </row>
    <row r="2666" spans="22:22">
      <c r="V2666" s="16"/>
    </row>
    <row r="2667" spans="22:22">
      <c r="V2667" s="16"/>
    </row>
    <row r="2668" spans="22:22">
      <c r="V2668" s="16"/>
    </row>
    <row r="2669" spans="22:22">
      <c r="V2669" s="16"/>
    </row>
    <row r="2670" spans="22:22">
      <c r="V2670" s="16"/>
    </row>
    <row r="2671" spans="22:22">
      <c r="V2671" s="16"/>
    </row>
    <row r="2672" spans="22:22">
      <c r="V2672" s="16"/>
    </row>
    <row r="2673" spans="22:22">
      <c r="V2673" s="16"/>
    </row>
    <row r="2674" spans="22:22">
      <c r="V2674" s="16"/>
    </row>
    <row r="2675" spans="22:22">
      <c r="V2675" s="16"/>
    </row>
    <row r="2676" spans="22:22">
      <c r="V2676" s="16"/>
    </row>
    <row r="2677" spans="22:22">
      <c r="V2677" s="16"/>
    </row>
    <row r="2678" spans="22:22">
      <c r="V2678" s="16"/>
    </row>
    <row r="2679" spans="22:22">
      <c r="V2679" s="16"/>
    </row>
    <row r="2680" spans="22:22">
      <c r="V2680" s="16"/>
    </row>
    <row r="2681" spans="22:22">
      <c r="V2681" s="16"/>
    </row>
    <row r="2682" spans="22:22">
      <c r="V2682" s="16"/>
    </row>
    <row r="2683" spans="22:22">
      <c r="V2683" s="16"/>
    </row>
    <row r="2684" spans="22:22">
      <c r="V2684" s="16"/>
    </row>
    <row r="2685" spans="22:22">
      <c r="V2685" s="16"/>
    </row>
    <row r="2686" spans="22:22">
      <c r="V2686" s="16"/>
    </row>
    <row r="2687" spans="22:22">
      <c r="V2687" s="16"/>
    </row>
    <row r="2688" spans="22:22">
      <c r="V2688" s="16"/>
    </row>
    <row r="2689" spans="22:22">
      <c r="V2689" s="16"/>
    </row>
    <row r="2690" spans="22:22">
      <c r="V2690" s="16"/>
    </row>
    <row r="2691" spans="22:22">
      <c r="V2691" s="16"/>
    </row>
    <row r="2692" spans="22:22">
      <c r="V2692" s="16"/>
    </row>
    <row r="2693" spans="22:22">
      <c r="V2693" s="16"/>
    </row>
    <row r="2694" spans="22:22">
      <c r="V2694" s="16"/>
    </row>
    <row r="2695" spans="22:22">
      <c r="V2695" s="16"/>
    </row>
    <row r="2696" spans="22:22">
      <c r="V2696" s="16"/>
    </row>
    <row r="2697" spans="22:22">
      <c r="V2697" s="16"/>
    </row>
    <row r="2698" spans="22:22">
      <c r="V2698" s="16"/>
    </row>
    <row r="2699" spans="22:22">
      <c r="V2699" s="16"/>
    </row>
    <row r="2700" spans="22:22">
      <c r="V2700" s="16"/>
    </row>
    <row r="2701" spans="22:22">
      <c r="V2701" s="16"/>
    </row>
    <row r="2702" spans="22:22">
      <c r="V2702" s="16"/>
    </row>
    <row r="2703" spans="22:22">
      <c r="V2703" s="16"/>
    </row>
    <row r="2704" spans="22:22">
      <c r="V2704" s="16"/>
    </row>
    <row r="2705" spans="22:22">
      <c r="V2705" s="16"/>
    </row>
    <row r="2706" spans="22:22">
      <c r="V2706" s="16"/>
    </row>
    <row r="2707" spans="22:22">
      <c r="V2707" s="16"/>
    </row>
    <row r="2708" spans="22:22">
      <c r="V2708" s="16"/>
    </row>
    <row r="2709" spans="22:22">
      <c r="V2709" s="16"/>
    </row>
    <row r="2710" spans="22:22">
      <c r="V2710" s="16"/>
    </row>
    <row r="2711" spans="22:22">
      <c r="V2711" s="16"/>
    </row>
    <row r="2712" spans="22:22">
      <c r="V2712" s="16"/>
    </row>
    <row r="2713" spans="22:22">
      <c r="V2713" s="16"/>
    </row>
    <row r="2714" spans="22:22">
      <c r="V2714" s="16"/>
    </row>
    <row r="2715" spans="22:22">
      <c r="V2715" s="16"/>
    </row>
    <row r="2716" spans="22:22">
      <c r="V2716" s="16"/>
    </row>
    <row r="2717" spans="22:22">
      <c r="V2717" s="16"/>
    </row>
    <row r="2718" spans="22:22">
      <c r="V2718" s="16"/>
    </row>
    <row r="2719" spans="22:22">
      <c r="V2719" s="16"/>
    </row>
    <row r="2720" spans="22:22">
      <c r="V2720" s="16"/>
    </row>
    <row r="2721" spans="22:22">
      <c r="V2721" s="16"/>
    </row>
    <row r="2722" spans="22:22">
      <c r="V2722" s="16"/>
    </row>
    <row r="2723" spans="22:22">
      <c r="V2723" s="16"/>
    </row>
    <row r="2724" spans="22:22">
      <c r="V2724" s="16"/>
    </row>
    <row r="2725" spans="22:22">
      <c r="V2725" s="16"/>
    </row>
    <row r="2726" spans="22:22">
      <c r="V2726" s="16"/>
    </row>
    <row r="2727" spans="22:22">
      <c r="V2727" s="16"/>
    </row>
    <row r="2728" spans="22:22">
      <c r="V2728" s="16"/>
    </row>
    <row r="2729" spans="22:22">
      <c r="V2729" s="16"/>
    </row>
    <row r="2730" spans="22:22">
      <c r="V2730" s="16"/>
    </row>
    <row r="2731" spans="22:22">
      <c r="V2731" s="16"/>
    </row>
    <row r="2732" spans="22:22">
      <c r="V2732" s="16"/>
    </row>
    <row r="2733" spans="22:22">
      <c r="V2733" s="16"/>
    </row>
    <row r="2734" spans="22:22">
      <c r="V2734" s="16"/>
    </row>
    <row r="2735" spans="22:22">
      <c r="V2735" s="16"/>
    </row>
    <row r="2736" spans="22:22">
      <c r="V2736" s="16"/>
    </row>
    <row r="2737" spans="22:22">
      <c r="V2737" s="16"/>
    </row>
    <row r="2738" spans="22:22">
      <c r="V2738" s="16"/>
    </row>
    <row r="2739" spans="22:22">
      <c r="V2739" s="16"/>
    </row>
    <row r="2740" spans="22:22">
      <c r="V2740" s="16"/>
    </row>
    <row r="2741" spans="22:22">
      <c r="V2741" s="16"/>
    </row>
    <row r="2742" spans="22:22">
      <c r="V2742" s="16"/>
    </row>
    <row r="2743" spans="22:22">
      <c r="V2743" s="16"/>
    </row>
    <row r="2744" spans="22:22">
      <c r="V2744" s="16"/>
    </row>
    <row r="2745" spans="22:22">
      <c r="V2745" s="16"/>
    </row>
    <row r="2746" spans="22:22">
      <c r="V2746" s="16"/>
    </row>
    <row r="2747" spans="22:22">
      <c r="V2747" s="16"/>
    </row>
    <row r="2748" spans="22:22">
      <c r="V2748" s="16"/>
    </row>
    <row r="2749" spans="22:22">
      <c r="V2749" s="16"/>
    </row>
    <row r="2750" spans="22:22">
      <c r="V2750" s="16"/>
    </row>
    <row r="2751" spans="22:22">
      <c r="V2751" s="16"/>
    </row>
    <row r="2752" spans="22:22">
      <c r="V2752" s="16"/>
    </row>
    <row r="2753" spans="22:22">
      <c r="V2753" s="16"/>
    </row>
    <row r="2754" spans="22:22">
      <c r="V2754" s="16"/>
    </row>
    <row r="2755" spans="22:22">
      <c r="V2755" s="16"/>
    </row>
    <row r="2756" spans="22:22">
      <c r="V2756" s="16"/>
    </row>
    <row r="2757" spans="22:22">
      <c r="V2757" s="16"/>
    </row>
    <row r="2758" spans="22:22">
      <c r="V2758" s="16"/>
    </row>
    <row r="2759" spans="22:22">
      <c r="V2759" s="16"/>
    </row>
    <row r="2760" spans="22:22">
      <c r="V2760" s="16"/>
    </row>
    <row r="2761" spans="22:22">
      <c r="V2761" s="16"/>
    </row>
    <row r="2762" spans="22:22">
      <c r="V2762" s="16"/>
    </row>
    <row r="2763" spans="22:22">
      <c r="V2763" s="16"/>
    </row>
    <row r="2764" spans="22:22">
      <c r="V2764" s="16"/>
    </row>
    <row r="2765" spans="22:22">
      <c r="V2765" s="16"/>
    </row>
    <row r="2766" spans="22:22">
      <c r="V2766" s="16"/>
    </row>
    <row r="2767" spans="22:22">
      <c r="V2767" s="16"/>
    </row>
    <row r="2768" spans="22:22">
      <c r="V2768" s="16"/>
    </row>
    <row r="2769" spans="22:22">
      <c r="V2769" s="16"/>
    </row>
    <row r="2770" spans="22:22">
      <c r="V2770" s="16"/>
    </row>
    <row r="2771" spans="22:22">
      <c r="V2771" s="16"/>
    </row>
    <row r="2772" spans="22:22">
      <c r="V2772" s="16"/>
    </row>
    <row r="2773" spans="22:22">
      <c r="V2773" s="16"/>
    </row>
    <row r="2774" spans="22:22">
      <c r="V2774" s="16"/>
    </row>
    <row r="2775" spans="22:22">
      <c r="V2775" s="16"/>
    </row>
    <row r="2776" spans="22:22">
      <c r="V2776" s="16"/>
    </row>
    <row r="2777" spans="22:22">
      <c r="V2777" s="16"/>
    </row>
    <row r="2778" spans="22:22">
      <c r="V2778" s="16"/>
    </row>
    <row r="2779" spans="22:22">
      <c r="V2779" s="16"/>
    </row>
    <row r="2780" spans="22:22">
      <c r="V2780" s="16"/>
    </row>
    <row r="2781" spans="22:22">
      <c r="V2781" s="16"/>
    </row>
    <row r="2782" spans="22:22">
      <c r="V2782" s="16"/>
    </row>
    <row r="2783" spans="22:22">
      <c r="V2783" s="16"/>
    </row>
    <row r="2784" spans="22:22">
      <c r="V2784" s="16"/>
    </row>
    <row r="2785" spans="22:22">
      <c r="V2785" s="16"/>
    </row>
    <row r="2786" spans="22:22">
      <c r="V2786" s="16"/>
    </row>
    <row r="2787" spans="22:22">
      <c r="V2787" s="16"/>
    </row>
    <row r="2788" spans="22:22">
      <c r="V2788" s="16"/>
    </row>
    <row r="2789" spans="22:22">
      <c r="V2789" s="16"/>
    </row>
    <row r="2790" spans="22:22">
      <c r="V2790" s="16"/>
    </row>
    <row r="2791" spans="22:22">
      <c r="V2791" s="16"/>
    </row>
    <row r="2792" spans="22:22">
      <c r="V2792" s="16"/>
    </row>
    <row r="2793" spans="22:22">
      <c r="V2793" s="16"/>
    </row>
    <row r="2794" spans="22:22">
      <c r="V2794" s="16"/>
    </row>
    <row r="2795" spans="22:22">
      <c r="V2795" s="16"/>
    </row>
    <row r="2796" spans="22:22">
      <c r="V2796" s="16"/>
    </row>
    <row r="2797" spans="22:22">
      <c r="V2797" s="16"/>
    </row>
    <row r="2798" spans="22:22">
      <c r="V2798" s="16"/>
    </row>
    <row r="2799" spans="22:22">
      <c r="V2799" s="16"/>
    </row>
    <row r="2800" spans="22:22">
      <c r="V2800" s="16"/>
    </row>
    <row r="2801" spans="22:22">
      <c r="V2801" s="16"/>
    </row>
    <row r="2802" spans="22:22">
      <c r="V2802" s="16"/>
    </row>
    <row r="2803" spans="22:22">
      <c r="V2803" s="16"/>
    </row>
    <row r="2804" spans="22:22">
      <c r="V2804" s="16"/>
    </row>
    <row r="2805" spans="22:22">
      <c r="V2805" s="16"/>
    </row>
    <row r="2806" spans="22:22">
      <c r="V2806" s="16"/>
    </row>
    <row r="2807" spans="22:22">
      <c r="V2807" s="16"/>
    </row>
    <row r="2808" spans="22:22">
      <c r="V2808" s="16"/>
    </row>
    <row r="2809" spans="22:22">
      <c r="V2809" s="16"/>
    </row>
    <row r="2810" spans="22:22">
      <c r="V2810" s="16"/>
    </row>
    <row r="2811" spans="22:22">
      <c r="V2811" s="16"/>
    </row>
    <row r="2812" spans="22:22">
      <c r="V2812" s="16"/>
    </row>
    <row r="2813" spans="22:22">
      <c r="V2813" s="16"/>
    </row>
    <row r="2814" spans="22:22">
      <c r="V2814" s="16"/>
    </row>
    <row r="2815" spans="22:22">
      <c r="V2815" s="16"/>
    </row>
    <row r="2816" spans="22:22">
      <c r="V2816" s="16"/>
    </row>
    <row r="2817" spans="22:22">
      <c r="V2817" s="16"/>
    </row>
    <row r="2818" spans="22:22">
      <c r="V2818" s="16"/>
    </row>
    <row r="2819" spans="22:22">
      <c r="V2819" s="16"/>
    </row>
    <row r="2820" spans="22:22">
      <c r="V2820" s="16"/>
    </row>
    <row r="2821" spans="22:22">
      <c r="V2821" s="16"/>
    </row>
    <row r="2822" spans="22:22">
      <c r="V2822" s="16"/>
    </row>
    <row r="2823" spans="22:22">
      <c r="V2823" s="16"/>
    </row>
    <row r="2824" spans="22:22">
      <c r="V2824" s="16"/>
    </row>
    <row r="2825" spans="22:22">
      <c r="V2825" s="16"/>
    </row>
    <row r="2826" spans="22:22">
      <c r="V2826" s="16"/>
    </row>
    <row r="2827" spans="22:22">
      <c r="V2827" s="16"/>
    </row>
    <row r="2828" spans="22:22">
      <c r="V2828" s="16"/>
    </row>
    <row r="2829" spans="22:22">
      <c r="V2829" s="16"/>
    </row>
    <row r="2830" spans="22:22">
      <c r="V2830" s="16"/>
    </row>
    <row r="2831" spans="22:22">
      <c r="V2831" s="16"/>
    </row>
    <row r="2832" spans="22:22">
      <c r="V2832" s="16"/>
    </row>
    <row r="2833" spans="22:22">
      <c r="V2833" s="16"/>
    </row>
    <row r="2834" spans="22:22">
      <c r="V2834" s="16"/>
    </row>
    <row r="2835" spans="22:22">
      <c r="V2835" s="16"/>
    </row>
    <row r="2836" spans="22:22">
      <c r="V2836" s="16"/>
    </row>
    <row r="2837" spans="22:22">
      <c r="V2837" s="16"/>
    </row>
    <row r="2838" spans="22:22">
      <c r="V2838" s="16"/>
    </row>
    <row r="2839" spans="22:22">
      <c r="V2839" s="16"/>
    </row>
    <row r="2840" spans="22:22">
      <c r="V2840" s="16"/>
    </row>
    <row r="2841" spans="22:22">
      <c r="V2841" s="16"/>
    </row>
    <row r="2842" spans="22:22">
      <c r="V2842" s="16"/>
    </row>
    <row r="2843" spans="22:22">
      <c r="V2843" s="16"/>
    </row>
    <row r="2844" spans="22:22">
      <c r="V2844" s="16"/>
    </row>
    <row r="2845" spans="22:22">
      <c r="V2845" s="16"/>
    </row>
    <row r="2846" spans="22:22">
      <c r="V2846" s="16"/>
    </row>
    <row r="2847" spans="22:22">
      <c r="V2847" s="16"/>
    </row>
    <row r="2848" spans="22:22">
      <c r="V2848" s="16"/>
    </row>
    <row r="2849" spans="22:22">
      <c r="V2849" s="16"/>
    </row>
    <row r="2850" spans="22:22">
      <c r="V2850" s="16"/>
    </row>
    <row r="2851" spans="22:22">
      <c r="V2851" s="16"/>
    </row>
    <row r="2852" spans="22:22">
      <c r="V2852" s="16"/>
    </row>
    <row r="2853" spans="22:22">
      <c r="V2853" s="16"/>
    </row>
    <row r="2854" spans="22:22">
      <c r="V2854" s="16"/>
    </row>
    <row r="2855" spans="22:22">
      <c r="V2855" s="16"/>
    </row>
    <row r="2856" spans="22:22">
      <c r="V2856" s="16"/>
    </row>
    <row r="2857" spans="22:22">
      <c r="V2857" s="16"/>
    </row>
    <row r="2858" spans="22:22">
      <c r="V2858" s="16"/>
    </row>
    <row r="2859" spans="22:22">
      <c r="V2859" s="16"/>
    </row>
    <row r="2860" spans="22:22">
      <c r="V2860" s="16"/>
    </row>
    <row r="2861" spans="22:22">
      <c r="V2861" s="16"/>
    </row>
    <row r="2862" spans="22:22">
      <c r="V2862" s="16"/>
    </row>
    <row r="2863" spans="22:22">
      <c r="V2863" s="16"/>
    </row>
    <row r="2864" spans="22:22">
      <c r="V2864" s="16"/>
    </row>
    <row r="2865" spans="22:22">
      <c r="V2865" s="16"/>
    </row>
    <row r="2866" spans="22:22">
      <c r="V2866" s="16"/>
    </row>
    <row r="2867" spans="22:22">
      <c r="V2867" s="16"/>
    </row>
    <row r="2868" spans="22:22">
      <c r="V2868" s="16"/>
    </row>
    <row r="2869" spans="22:22">
      <c r="V2869" s="16"/>
    </row>
    <row r="2870" spans="22:22">
      <c r="V2870" s="16"/>
    </row>
    <row r="2871" spans="22:22">
      <c r="V2871" s="16"/>
    </row>
    <row r="2872" spans="22:22">
      <c r="V2872" s="16"/>
    </row>
    <row r="2873" spans="22:22">
      <c r="V2873" s="16"/>
    </row>
    <row r="2874" spans="22:22">
      <c r="V2874" s="16"/>
    </row>
    <row r="2875" spans="22:22">
      <c r="V2875" s="16"/>
    </row>
    <row r="2876" spans="22:22">
      <c r="V2876" s="16"/>
    </row>
    <row r="2877" spans="22:22">
      <c r="V2877" s="16"/>
    </row>
    <row r="2878" spans="22:22">
      <c r="V2878" s="16"/>
    </row>
    <row r="2879" spans="22:22">
      <c r="V2879" s="16"/>
    </row>
    <row r="2880" spans="22:22">
      <c r="V2880" s="16"/>
    </row>
    <row r="2881" spans="22:22">
      <c r="V2881" s="16"/>
    </row>
    <row r="2882" spans="22:22">
      <c r="V2882" s="16"/>
    </row>
    <row r="2883" spans="22:22">
      <c r="V2883" s="16"/>
    </row>
    <row r="2884" spans="22:22">
      <c r="V2884" s="16"/>
    </row>
    <row r="2885" spans="22:22">
      <c r="V2885" s="16"/>
    </row>
    <row r="2886" spans="22:22">
      <c r="V2886" s="16"/>
    </row>
    <row r="2887" spans="22:22">
      <c r="V2887" s="16"/>
    </row>
    <row r="2888" spans="22:22">
      <c r="V2888" s="16"/>
    </row>
    <row r="2889" spans="22:22">
      <c r="V2889" s="16"/>
    </row>
    <row r="2890" spans="22:22">
      <c r="V2890" s="16"/>
    </row>
    <row r="2891" spans="22:22">
      <c r="V2891" s="16"/>
    </row>
    <row r="2892" spans="22:22">
      <c r="V2892" s="16"/>
    </row>
    <row r="2893" spans="22:22">
      <c r="V2893" s="16"/>
    </row>
    <row r="2894" spans="22:22">
      <c r="V2894" s="16"/>
    </row>
    <row r="2895" spans="22:22">
      <c r="V2895" s="16"/>
    </row>
    <row r="2896" spans="22:22">
      <c r="V2896" s="16"/>
    </row>
    <row r="2897" spans="22:22">
      <c r="V2897" s="16"/>
    </row>
    <row r="2898" spans="22:22">
      <c r="V2898" s="16"/>
    </row>
    <row r="2899" spans="22:22">
      <c r="V2899" s="16"/>
    </row>
    <row r="2900" spans="22:22">
      <c r="V2900" s="16"/>
    </row>
    <row r="2901" spans="22:22">
      <c r="V2901" s="16"/>
    </row>
    <row r="2902" spans="22:22">
      <c r="V2902" s="16"/>
    </row>
    <row r="2903" spans="22:22">
      <c r="V2903" s="16"/>
    </row>
    <row r="2904" spans="22:22">
      <c r="V2904" s="16"/>
    </row>
    <row r="2905" spans="22:22">
      <c r="V2905" s="16"/>
    </row>
    <row r="2906" spans="22:22">
      <c r="V2906" s="16"/>
    </row>
    <row r="2907" spans="22:22">
      <c r="V2907" s="16"/>
    </row>
    <row r="2908" spans="22:22">
      <c r="V2908" s="16"/>
    </row>
    <row r="2909" spans="22:22">
      <c r="V2909" s="16"/>
    </row>
    <row r="2910" spans="22:22">
      <c r="V2910" s="16"/>
    </row>
    <row r="2911" spans="22:22">
      <c r="V2911" s="16"/>
    </row>
    <row r="2912" spans="22:22">
      <c r="V2912" s="16"/>
    </row>
    <row r="2913" spans="22:22">
      <c r="V2913" s="16"/>
    </row>
    <row r="2914" spans="22:22">
      <c r="V2914" s="16"/>
    </row>
    <row r="2915" spans="22:22">
      <c r="V2915" s="16"/>
    </row>
    <row r="2916" spans="22:22">
      <c r="V2916" s="16"/>
    </row>
    <row r="2917" spans="22:22">
      <c r="V2917" s="16"/>
    </row>
    <row r="2918" spans="22:22">
      <c r="V2918" s="16"/>
    </row>
    <row r="2919" spans="22:22">
      <c r="V2919" s="16"/>
    </row>
    <row r="2920" spans="22:22">
      <c r="V2920" s="16"/>
    </row>
    <row r="2921" spans="22:22">
      <c r="V2921" s="16"/>
    </row>
    <row r="2922" spans="22:22">
      <c r="V2922" s="16"/>
    </row>
    <row r="2923" spans="22:22">
      <c r="V2923" s="16"/>
    </row>
    <row r="2924" spans="22:22">
      <c r="V2924" s="16"/>
    </row>
    <row r="2925" spans="22:22">
      <c r="V2925" s="16"/>
    </row>
    <row r="2926" spans="22:22">
      <c r="V2926" s="16"/>
    </row>
    <row r="2927" spans="22:22">
      <c r="V2927" s="16"/>
    </row>
    <row r="2928" spans="22:22">
      <c r="V2928" s="16"/>
    </row>
    <row r="2929" spans="22:22">
      <c r="V2929" s="16"/>
    </row>
    <row r="2930" spans="22:22">
      <c r="V2930" s="16"/>
    </row>
    <row r="2931" spans="22:22">
      <c r="V2931" s="16"/>
    </row>
    <row r="2932" spans="22:22">
      <c r="V2932" s="16"/>
    </row>
    <row r="2933" spans="22:22">
      <c r="V2933" s="16"/>
    </row>
    <row r="2934" spans="22:22">
      <c r="V2934" s="16"/>
    </row>
    <row r="2935" spans="22:22">
      <c r="V2935" s="16"/>
    </row>
    <row r="2936" spans="22:22">
      <c r="V2936" s="16"/>
    </row>
    <row r="2937" spans="22:22">
      <c r="V2937" s="16"/>
    </row>
    <row r="2938" spans="22:22">
      <c r="V2938" s="16"/>
    </row>
    <row r="2939" spans="22:22">
      <c r="V2939" s="16"/>
    </row>
    <row r="2940" spans="22:22">
      <c r="V2940" s="16"/>
    </row>
    <row r="2941" spans="22:22">
      <c r="V2941" s="16"/>
    </row>
    <row r="2942" spans="22:22">
      <c r="V2942" s="16"/>
    </row>
    <row r="2943" spans="22:22">
      <c r="V2943" s="16"/>
    </row>
    <row r="2944" spans="22:22">
      <c r="V2944" s="16"/>
    </row>
    <row r="2945" spans="22:22">
      <c r="V2945" s="16"/>
    </row>
    <row r="2946" spans="22:22">
      <c r="V2946" s="16"/>
    </row>
    <row r="2947" spans="22:22">
      <c r="V2947" s="16"/>
    </row>
    <row r="2948" spans="22:22">
      <c r="V2948" s="16"/>
    </row>
    <row r="2949" spans="22:22">
      <c r="V2949" s="16"/>
    </row>
    <row r="2950" spans="22:22">
      <c r="V2950" s="16"/>
    </row>
    <row r="2951" spans="22:22">
      <c r="V2951" s="16"/>
    </row>
    <row r="2952" spans="22:22">
      <c r="V2952" s="16"/>
    </row>
    <row r="2953" spans="22:22">
      <c r="V2953" s="16"/>
    </row>
    <row r="2954" spans="22:22">
      <c r="V2954" s="16"/>
    </row>
    <row r="2955" spans="22:22">
      <c r="V2955" s="16"/>
    </row>
    <row r="2956" spans="22:22">
      <c r="V2956" s="16"/>
    </row>
    <row r="2957" spans="22:22">
      <c r="V2957" s="16"/>
    </row>
    <row r="2958" spans="22:22">
      <c r="V2958" s="16"/>
    </row>
    <row r="2959" spans="22:22">
      <c r="V2959" s="16"/>
    </row>
    <row r="2960" spans="22:22">
      <c r="V2960" s="16"/>
    </row>
    <row r="2961" spans="22:22">
      <c r="V2961" s="16"/>
    </row>
    <row r="2962" spans="22:22">
      <c r="V2962" s="16"/>
    </row>
    <row r="2963" spans="22:22">
      <c r="V2963" s="16"/>
    </row>
    <row r="2964" spans="22:22">
      <c r="V2964" s="16"/>
    </row>
    <row r="2965" spans="22:22">
      <c r="V2965" s="16"/>
    </row>
    <row r="2966" spans="22:22">
      <c r="V2966" s="16"/>
    </row>
    <row r="2967" spans="22:22">
      <c r="V2967" s="16"/>
    </row>
    <row r="2968" spans="22:22">
      <c r="V2968" s="16"/>
    </row>
    <row r="2969" spans="22:22">
      <c r="V2969" s="16"/>
    </row>
    <row r="2970" spans="22:22">
      <c r="V2970" s="16"/>
    </row>
    <row r="2971" spans="22:22">
      <c r="V2971" s="16"/>
    </row>
    <row r="2972" spans="22:22">
      <c r="V2972" s="16"/>
    </row>
    <row r="2973" spans="22:22">
      <c r="V2973" s="16"/>
    </row>
    <row r="2974" spans="22:22">
      <c r="V2974" s="16"/>
    </row>
    <row r="2975" spans="22:22">
      <c r="V2975" s="16"/>
    </row>
    <row r="2976" spans="22:22">
      <c r="V2976" s="16"/>
    </row>
    <row r="2977" spans="22:22">
      <c r="V2977" s="16"/>
    </row>
    <row r="2978" spans="22:22">
      <c r="V2978" s="16"/>
    </row>
    <row r="2979" spans="22:22">
      <c r="V2979" s="16"/>
    </row>
    <row r="2980" spans="22:22">
      <c r="V2980" s="16"/>
    </row>
    <row r="2981" spans="22:22">
      <c r="V2981" s="16"/>
    </row>
    <row r="2982" spans="22:22">
      <c r="V2982" s="16"/>
    </row>
    <row r="2983" spans="22:22">
      <c r="V2983" s="16"/>
    </row>
    <row r="2984" spans="22:22">
      <c r="V2984" s="16"/>
    </row>
    <row r="2985" spans="22:22">
      <c r="V2985" s="16"/>
    </row>
    <row r="2986" spans="22:22">
      <c r="V2986" s="16"/>
    </row>
    <row r="2987" spans="22:22">
      <c r="V2987" s="16"/>
    </row>
    <row r="2988" spans="22:22">
      <c r="V2988" s="16"/>
    </row>
    <row r="2989" spans="22:22">
      <c r="V2989" s="16"/>
    </row>
    <row r="2990" spans="22:22">
      <c r="V2990" s="16"/>
    </row>
    <row r="2991" spans="22:22">
      <c r="V2991" s="16"/>
    </row>
    <row r="2992" spans="22:22">
      <c r="V2992" s="16"/>
    </row>
    <row r="2993" spans="22:22">
      <c r="V2993" s="16"/>
    </row>
    <row r="2994" spans="22:22">
      <c r="V2994" s="16"/>
    </row>
    <row r="2995" spans="22:22">
      <c r="V2995" s="16"/>
    </row>
    <row r="2996" spans="22:22">
      <c r="V2996" s="16"/>
    </row>
    <row r="2997" spans="22:22">
      <c r="V2997" s="16"/>
    </row>
    <row r="2998" spans="22:22">
      <c r="V2998" s="16"/>
    </row>
    <row r="2999" spans="22:22">
      <c r="V2999" s="16"/>
    </row>
    <row r="3000" spans="22:22">
      <c r="V3000" s="16"/>
    </row>
    <row r="3001" spans="22:22">
      <c r="V3001" s="16"/>
    </row>
    <row r="3002" spans="22:22">
      <c r="V3002" s="16"/>
    </row>
    <row r="3003" spans="22:22">
      <c r="V3003" s="16"/>
    </row>
    <row r="3004" spans="22:22">
      <c r="V3004" s="16"/>
    </row>
    <row r="3005" spans="22:22">
      <c r="V3005" s="16"/>
    </row>
    <row r="3006" spans="22:22">
      <c r="V3006" s="16"/>
    </row>
    <row r="3007" spans="22:22">
      <c r="V3007" s="16"/>
    </row>
    <row r="3008" spans="22:22">
      <c r="V3008" s="16"/>
    </row>
    <row r="3009" spans="22:22">
      <c r="V3009" s="16"/>
    </row>
    <row r="3010" spans="22:22">
      <c r="V3010" s="16"/>
    </row>
    <row r="3011" spans="22:22">
      <c r="V3011" s="16"/>
    </row>
    <row r="3012" spans="22:22">
      <c r="V3012" s="16"/>
    </row>
    <row r="3013" spans="22:22">
      <c r="V3013" s="16"/>
    </row>
    <row r="3014" spans="22:22">
      <c r="V3014" s="16"/>
    </row>
    <row r="3015" spans="22:22">
      <c r="V3015" s="16"/>
    </row>
    <row r="3016" spans="22:22">
      <c r="V3016" s="16"/>
    </row>
    <row r="3017" spans="22:22">
      <c r="V3017" s="16"/>
    </row>
    <row r="3018" spans="22:22">
      <c r="V3018" s="16"/>
    </row>
    <row r="3019" spans="22:22">
      <c r="V3019" s="16"/>
    </row>
    <row r="3020" spans="22:22">
      <c r="V3020" s="16"/>
    </row>
    <row r="3021" spans="22:22">
      <c r="V3021" s="16"/>
    </row>
    <row r="3022" spans="22:22">
      <c r="V3022" s="16"/>
    </row>
    <row r="3023" spans="22:22">
      <c r="V3023" s="16"/>
    </row>
    <row r="3024" spans="22:22">
      <c r="V3024" s="16"/>
    </row>
    <row r="3025" spans="22:22">
      <c r="V3025" s="16"/>
    </row>
    <row r="3026" spans="22:22">
      <c r="V3026" s="16"/>
    </row>
    <row r="3027" spans="22:22">
      <c r="V3027" s="16"/>
    </row>
    <row r="3028" spans="22:22">
      <c r="V3028" s="16"/>
    </row>
    <row r="3029" spans="22:22">
      <c r="V3029" s="16"/>
    </row>
    <row r="3030" spans="22:22">
      <c r="V3030" s="16"/>
    </row>
    <row r="3031" spans="22:22">
      <c r="V3031" s="16"/>
    </row>
    <row r="3032" spans="22:22">
      <c r="V3032" s="16"/>
    </row>
    <row r="3033" spans="22:22">
      <c r="V3033" s="16"/>
    </row>
    <row r="3034" spans="22:22">
      <c r="V3034" s="16"/>
    </row>
    <row r="3035" spans="22:22">
      <c r="V3035" s="16"/>
    </row>
    <row r="3036" spans="22:22">
      <c r="V3036" s="16"/>
    </row>
    <row r="3037" spans="22:22">
      <c r="V3037" s="16"/>
    </row>
    <row r="3038" spans="22:22">
      <c r="V3038" s="16"/>
    </row>
    <row r="3039" spans="22:22">
      <c r="V3039" s="16"/>
    </row>
    <row r="3040" spans="22:22">
      <c r="V3040" s="16"/>
    </row>
    <row r="3041" spans="22:22">
      <c r="V3041" s="16"/>
    </row>
    <row r="3042" spans="22:22">
      <c r="V3042" s="16"/>
    </row>
    <row r="3043" spans="22:22">
      <c r="V3043" s="16"/>
    </row>
    <row r="3044" spans="22:22">
      <c r="V3044" s="16"/>
    </row>
    <row r="3045" spans="22:22">
      <c r="V3045" s="16"/>
    </row>
    <row r="3046" spans="22:22">
      <c r="V3046" s="16"/>
    </row>
    <row r="3047" spans="22:22">
      <c r="V3047" s="16"/>
    </row>
    <row r="3048" spans="22:22">
      <c r="V3048" s="16"/>
    </row>
    <row r="3049" spans="22:22">
      <c r="V3049" s="16"/>
    </row>
    <row r="3050" spans="22:22">
      <c r="V3050" s="16"/>
    </row>
    <row r="3051" spans="22:22">
      <c r="V3051" s="16"/>
    </row>
    <row r="3052" spans="22:22">
      <c r="V3052" s="16"/>
    </row>
    <row r="3053" spans="22:22">
      <c r="V3053" s="16"/>
    </row>
    <row r="3054" spans="22:22">
      <c r="V3054" s="16"/>
    </row>
    <row r="3055" spans="22:22">
      <c r="V3055" s="16"/>
    </row>
    <row r="3056" spans="22:22">
      <c r="V3056" s="16"/>
    </row>
    <row r="3057" spans="22:22">
      <c r="V3057" s="16"/>
    </row>
    <row r="3058" spans="22:22">
      <c r="V3058" s="16"/>
    </row>
    <row r="3059" spans="22:22">
      <c r="V3059" s="16"/>
    </row>
    <row r="3060" spans="22:22">
      <c r="V3060" s="16"/>
    </row>
    <row r="3061" spans="22:22">
      <c r="V3061" s="16"/>
    </row>
    <row r="3062" spans="22:22">
      <c r="V3062" s="16"/>
    </row>
    <row r="3063" spans="22:22">
      <c r="V3063" s="16"/>
    </row>
    <row r="3064" spans="22:22">
      <c r="V3064" s="16"/>
    </row>
    <row r="3065" spans="22:22">
      <c r="V3065" s="16"/>
    </row>
    <row r="3066" spans="22:22">
      <c r="V3066" s="16"/>
    </row>
    <row r="3067" spans="22:22">
      <c r="V3067" s="16"/>
    </row>
    <row r="3068" spans="22:22">
      <c r="V3068" s="16"/>
    </row>
    <row r="3069" spans="22:22">
      <c r="V3069" s="16"/>
    </row>
    <row r="3070" spans="22:22">
      <c r="V3070" s="16"/>
    </row>
    <row r="3071" spans="22:22">
      <c r="V3071" s="16"/>
    </row>
    <row r="3072" spans="22:22">
      <c r="V3072" s="16"/>
    </row>
    <row r="3073" spans="22:22">
      <c r="V3073" s="16"/>
    </row>
    <row r="3074" spans="22:22">
      <c r="V3074" s="16"/>
    </row>
    <row r="3075" spans="22:22">
      <c r="V3075" s="16"/>
    </row>
    <row r="3076" spans="22:22">
      <c r="V3076" s="16"/>
    </row>
    <row r="3077" spans="22:22">
      <c r="V3077" s="16"/>
    </row>
    <row r="3078" spans="22:22">
      <c r="V3078" s="16"/>
    </row>
    <row r="3079" spans="22:22">
      <c r="V3079" s="16"/>
    </row>
    <row r="3080" spans="22:22">
      <c r="V3080" s="16"/>
    </row>
    <row r="3081" spans="22:22">
      <c r="V3081" s="16"/>
    </row>
    <row r="3082" spans="22:22">
      <c r="V3082" s="16"/>
    </row>
    <row r="3083" spans="22:22">
      <c r="V3083" s="16"/>
    </row>
    <row r="3084" spans="22:22">
      <c r="V3084" s="16"/>
    </row>
    <row r="3085" spans="22:22">
      <c r="V3085" s="16"/>
    </row>
    <row r="3086" spans="22:22">
      <c r="V3086" s="16"/>
    </row>
    <row r="3087" spans="22:22">
      <c r="V3087" s="16"/>
    </row>
    <row r="3088" spans="22:22">
      <c r="V3088" s="16"/>
    </row>
    <row r="3089" spans="22:22">
      <c r="V3089" s="16"/>
    </row>
    <row r="3090" spans="22:22">
      <c r="V3090" s="16"/>
    </row>
    <row r="3091" spans="22:22">
      <c r="V3091" s="16"/>
    </row>
    <row r="3092" spans="22:22">
      <c r="V3092" s="16"/>
    </row>
    <row r="3093" spans="22:22">
      <c r="V3093" s="16"/>
    </row>
    <row r="3094" spans="22:22">
      <c r="V3094" s="16"/>
    </row>
    <row r="3095" spans="22:22">
      <c r="V3095" s="16"/>
    </row>
    <row r="3096" spans="22:22">
      <c r="V3096" s="16"/>
    </row>
    <row r="3097" spans="22:22">
      <c r="V3097" s="16"/>
    </row>
    <row r="3098" spans="22:22">
      <c r="V3098" s="16"/>
    </row>
    <row r="3099" spans="22:22">
      <c r="V3099" s="16"/>
    </row>
    <row r="3100" spans="22:22">
      <c r="V3100" s="16"/>
    </row>
    <row r="3101" spans="22:22">
      <c r="V3101" s="16"/>
    </row>
    <row r="3102" spans="22:22">
      <c r="V3102" s="16"/>
    </row>
    <row r="3103" spans="22:22">
      <c r="V3103" s="16"/>
    </row>
    <row r="3104" spans="22:22">
      <c r="V3104" s="16"/>
    </row>
    <row r="3105" spans="22:22">
      <c r="V3105" s="16"/>
    </row>
    <row r="3106" spans="22:22">
      <c r="V3106" s="16"/>
    </row>
    <row r="3107" spans="22:22">
      <c r="V3107" s="16"/>
    </row>
    <row r="3108" spans="22:22">
      <c r="V3108" s="16"/>
    </row>
    <row r="3109" spans="22:22">
      <c r="V3109" s="16"/>
    </row>
    <row r="3110" spans="22:22">
      <c r="V3110" s="16"/>
    </row>
    <row r="3111" spans="22:22">
      <c r="V3111" s="16"/>
    </row>
    <row r="3112" spans="22:22">
      <c r="V3112" s="16"/>
    </row>
    <row r="3113" spans="22:22">
      <c r="V3113" s="16"/>
    </row>
    <row r="3114" spans="22:22">
      <c r="V3114" s="16"/>
    </row>
    <row r="3115" spans="22:22">
      <c r="V3115" s="16"/>
    </row>
    <row r="3116" spans="22:22">
      <c r="V3116" s="16"/>
    </row>
    <row r="3117" spans="22:22">
      <c r="V3117" s="16"/>
    </row>
    <row r="3118" spans="22:22">
      <c r="V3118" s="16"/>
    </row>
    <row r="3119" spans="22:22">
      <c r="V3119" s="16"/>
    </row>
    <row r="3120" spans="22:22">
      <c r="V3120" s="16"/>
    </row>
    <row r="3121" spans="22:22">
      <c r="V3121" s="16"/>
    </row>
    <row r="3122" spans="22:22">
      <c r="V3122" s="16"/>
    </row>
    <row r="3123" spans="22:22">
      <c r="V3123" s="16"/>
    </row>
    <row r="3124" spans="22:22">
      <c r="V3124" s="16"/>
    </row>
    <row r="3125" spans="22:22">
      <c r="V3125" s="16"/>
    </row>
    <row r="3126" spans="22:22">
      <c r="V3126" s="16"/>
    </row>
    <row r="3127" spans="22:22">
      <c r="V3127" s="16"/>
    </row>
    <row r="3128" spans="22:22">
      <c r="V3128" s="16"/>
    </row>
    <row r="3129" spans="22:22">
      <c r="V3129" s="16"/>
    </row>
    <row r="3130" spans="22:22">
      <c r="V3130" s="16"/>
    </row>
    <row r="3131" spans="22:22">
      <c r="V3131" s="16"/>
    </row>
    <row r="3132" spans="22:22">
      <c r="V3132" s="16"/>
    </row>
    <row r="3133" spans="22:22">
      <c r="V3133" s="16"/>
    </row>
    <row r="3134" spans="22:22">
      <c r="V3134" s="16"/>
    </row>
    <row r="3135" spans="22:22">
      <c r="V3135" s="16"/>
    </row>
    <row r="3136" spans="22:22">
      <c r="V3136" s="16"/>
    </row>
    <row r="3137" spans="22:22">
      <c r="V3137" s="16"/>
    </row>
    <row r="3138" spans="22:22">
      <c r="V3138" s="16"/>
    </row>
    <row r="3139" spans="22:22">
      <c r="V3139" s="16"/>
    </row>
    <row r="3140" spans="22:22">
      <c r="V3140" s="16"/>
    </row>
    <row r="3141" spans="22:22">
      <c r="V3141" s="16"/>
    </row>
    <row r="3142" spans="22:22">
      <c r="V3142" s="16"/>
    </row>
    <row r="3143" spans="22:22">
      <c r="V3143" s="16"/>
    </row>
    <row r="3144" spans="22:22">
      <c r="V3144" s="16"/>
    </row>
    <row r="3145" spans="22:22">
      <c r="V3145" s="16"/>
    </row>
    <row r="3146" spans="22:22">
      <c r="V3146" s="16"/>
    </row>
    <row r="3147" spans="22:22">
      <c r="V3147" s="16"/>
    </row>
    <row r="3148" spans="22:22">
      <c r="V3148" s="16"/>
    </row>
    <row r="3149" spans="22:22">
      <c r="V3149" s="16"/>
    </row>
    <row r="3150" spans="22:22">
      <c r="V3150" s="16"/>
    </row>
    <row r="3151" spans="22:22">
      <c r="V3151" s="16"/>
    </row>
    <row r="3152" spans="22:22">
      <c r="V3152" s="16"/>
    </row>
    <row r="3153" spans="22:22">
      <c r="V3153" s="16"/>
    </row>
    <row r="3154" spans="22:22">
      <c r="V3154" s="16"/>
    </row>
    <row r="3155" spans="22:22">
      <c r="V3155" s="16"/>
    </row>
    <row r="3156" spans="22:22">
      <c r="V3156" s="16"/>
    </row>
    <row r="3157" spans="22:22">
      <c r="V3157" s="16"/>
    </row>
    <row r="3158" spans="22:22">
      <c r="V3158" s="16"/>
    </row>
    <row r="3159" spans="22:22">
      <c r="V3159" s="16"/>
    </row>
    <row r="3160" spans="22:22">
      <c r="V3160" s="16"/>
    </row>
    <row r="3161" spans="22:22">
      <c r="V3161" s="16"/>
    </row>
    <row r="3162" spans="22:22">
      <c r="V3162" s="16"/>
    </row>
    <row r="3163" spans="22:22">
      <c r="V3163" s="16"/>
    </row>
    <row r="3164" spans="22:22">
      <c r="V3164" s="16"/>
    </row>
    <row r="3165" spans="22:22">
      <c r="V3165" s="16"/>
    </row>
    <row r="3166" spans="22:22">
      <c r="V3166" s="16"/>
    </row>
    <row r="3167" spans="22:22">
      <c r="V3167" s="16"/>
    </row>
    <row r="3168" spans="22:22">
      <c r="V3168" s="16"/>
    </row>
    <row r="3169" spans="22:22">
      <c r="V3169" s="16"/>
    </row>
    <row r="3170" spans="22:22">
      <c r="V3170" s="16"/>
    </row>
    <row r="3171" spans="22:22">
      <c r="V3171" s="16"/>
    </row>
    <row r="3172" spans="22:22">
      <c r="V3172" s="16"/>
    </row>
    <row r="3173" spans="22:22">
      <c r="V3173" s="16"/>
    </row>
    <row r="3174" spans="22:22">
      <c r="V3174" s="16"/>
    </row>
    <row r="3175" spans="22:22">
      <c r="V3175" s="16"/>
    </row>
    <row r="3176" spans="22:22">
      <c r="V3176" s="16"/>
    </row>
    <row r="3177" spans="22:22">
      <c r="V3177" s="16"/>
    </row>
    <row r="3178" spans="22:22">
      <c r="V3178" s="16"/>
    </row>
    <row r="3179" spans="22:22">
      <c r="V3179" s="16"/>
    </row>
    <row r="3180" spans="22:22">
      <c r="V3180" s="16"/>
    </row>
    <row r="3181" spans="22:22">
      <c r="V3181" s="16"/>
    </row>
    <row r="3182" spans="22:22">
      <c r="V3182" s="16"/>
    </row>
    <row r="3183" spans="22:22">
      <c r="V3183" s="16"/>
    </row>
    <row r="3184" spans="22:22">
      <c r="V3184" s="16"/>
    </row>
    <row r="3185" spans="22:22">
      <c r="V3185" s="16"/>
    </row>
    <row r="3186" spans="22:22">
      <c r="V3186" s="16"/>
    </row>
    <row r="3187" spans="22:22">
      <c r="V3187" s="16"/>
    </row>
    <row r="3188" spans="22:22">
      <c r="V3188" s="16"/>
    </row>
    <row r="3189" spans="22:22">
      <c r="V3189" s="16"/>
    </row>
    <row r="3190" spans="22:22">
      <c r="V3190" s="16"/>
    </row>
    <row r="3191" spans="22:22">
      <c r="V3191" s="16"/>
    </row>
    <row r="3192" spans="22:22">
      <c r="V3192" s="16"/>
    </row>
    <row r="3193" spans="22:22">
      <c r="V3193" s="16"/>
    </row>
    <row r="3194" spans="22:22">
      <c r="V3194" s="16"/>
    </row>
    <row r="3195" spans="22:22">
      <c r="V3195" s="16"/>
    </row>
    <row r="3196" spans="22:22">
      <c r="V3196" s="16"/>
    </row>
    <row r="3197" spans="22:22">
      <c r="V3197" s="16"/>
    </row>
    <row r="3198" spans="22:22">
      <c r="V3198" s="16"/>
    </row>
    <row r="3199" spans="22:22">
      <c r="V3199" s="16"/>
    </row>
    <row r="3200" spans="22:22">
      <c r="V3200" s="16"/>
    </row>
    <row r="3201" spans="22:22">
      <c r="V3201" s="16"/>
    </row>
    <row r="3202" spans="22:22">
      <c r="V3202" s="16"/>
    </row>
    <row r="3203" spans="22:22">
      <c r="V3203" s="16"/>
    </row>
    <row r="3204" spans="22:22">
      <c r="V3204" s="16"/>
    </row>
    <row r="3205" spans="22:22">
      <c r="V3205" s="16"/>
    </row>
    <row r="3206" spans="22:22">
      <c r="V3206" s="16"/>
    </row>
    <row r="3207" spans="22:22">
      <c r="V3207" s="16"/>
    </row>
    <row r="3208" spans="22:22">
      <c r="V3208" s="16"/>
    </row>
    <row r="3209" spans="22:22">
      <c r="V3209" s="16"/>
    </row>
    <row r="3210" spans="22:22">
      <c r="V3210" s="16"/>
    </row>
    <row r="3211" spans="22:22">
      <c r="V3211" s="16"/>
    </row>
    <row r="3212" spans="22:22">
      <c r="V3212" s="16"/>
    </row>
    <row r="3213" spans="22:22">
      <c r="V3213" s="16"/>
    </row>
    <row r="3214" spans="22:22">
      <c r="V3214" s="16"/>
    </row>
    <row r="3215" spans="22:22">
      <c r="V3215" s="16"/>
    </row>
    <row r="3216" spans="22:22">
      <c r="V3216" s="16"/>
    </row>
    <row r="3217" spans="22:22">
      <c r="V3217" s="16"/>
    </row>
    <row r="3218" spans="22:22">
      <c r="V3218" s="16"/>
    </row>
    <row r="3219" spans="22:22">
      <c r="V3219" s="16"/>
    </row>
    <row r="3220" spans="22:22">
      <c r="V3220" s="16"/>
    </row>
    <row r="3221" spans="22:22">
      <c r="V3221" s="16"/>
    </row>
    <row r="3222" spans="22:22">
      <c r="V3222" s="16"/>
    </row>
    <row r="3223" spans="22:22">
      <c r="V3223" s="16"/>
    </row>
    <row r="3224" spans="22:22">
      <c r="V3224" s="16"/>
    </row>
    <row r="3225" spans="22:22">
      <c r="V3225" s="16"/>
    </row>
    <row r="3226" spans="22:22">
      <c r="V3226" s="16"/>
    </row>
    <row r="3227" spans="22:22">
      <c r="V3227" s="16"/>
    </row>
    <row r="3228" spans="22:22">
      <c r="V3228" s="16"/>
    </row>
    <row r="3229" spans="22:22">
      <c r="V3229" s="16"/>
    </row>
    <row r="3230" spans="22:22">
      <c r="V3230" s="16"/>
    </row>
    <row r="3231" spans="22:22">
      <c r="V3231" s="16"/>
    </row>
    <row r="3232" spans="22:22">
      <c r="V3232" s="16"/>
    </row>
    <row r="3233" spans="22:22">
      <c r="V3233" s="16"/>
    </row>
    <row r="3234" spans="22:22">
      <c r="V3234" s="16"/>
    </row>
    <row r="3235" spans="22:22">
      <c r="V3235" s="16"/>
    </row>
    <row r="3236" spans="22:22">
      <c r="V3236" s="16"/>
    </row>
    <row r="3237" spans="22:22">
      <c r="V3237" s="16"/>
    </row>
    <row r="3238" spans="22:22">
      <c r="V3238" s="16"/>
    </row>
    <row r="3239" spans="22:22">
      <c r="V3239" s="16"/>
    </row>
    <row r="3240" spans="22:22">
      <c r="V3240" s="16"/>
    </row>
    <row r="3241" spans="22:22">
      <c r="V3241" s="16"/>
    </row>
    <row r="3242" spans="22:22">
      <c r="V3242" s="16"/>
    </row>
    <row r="3243" spans="22:22">
      <c r="V3243" s="16"/>
    </row>
    <row r="3244" spans="22:22">
      <c r="V3244" s="16"/>
    </row>
    <row r="3245" spans="22:22">
      <c r="V3245" s="16"/>
    </row>
    <row r="3246" spans="22:22">
      <c r="V3246" s="16"/>
    </row>
    <row r="3247" spans="22:22">
      <c r="V3247" s="16"/>
    </row>
    <row r="3248" spans="22:22">
      <c r="V3248" s="16"/>
    </row>
    <row r="3249" spans="22:22">
      <c r="V3249" s="16"/>
    </row>
    <row r="3250" spans="22:22">
      <c r="V3250" s="16"/>
    </row>
    <row r="3251" spans="22:22">
      <c r="V3251" s="16"/>
    </row>
    <row r="3252" spans="22:22">
      <c r="V3252" s="16"/>
    </row>
    <row r="3253" spans="22:22">
      <c r="V3253" s="16"/>
    </row>
    <row r="3254" spans="22:22">
      <c r="V3254" s="16"/>
    </row>
    <row r="3255" spans="22:22">
      <c r="V3255" s="16"/>
    </row>
    <row r="3256" spans="22:22">
      <c r="V3256" s="16"/>
    </row>
    <row r="3257" spans="22:22">
      <c r="V3257" s="16"/>
    </row>
    <row r="3258" spans="22:22">
      <c r="V3258" s="16"/>
    </row>
    <row r="3259" spans="22:22">
      <c r="V3259" s="16"/>
    </row>
    <row r="3260" spans="22:22">
      <c r="V3260" s="16"/>
    </row>
    <row r="3261" spans="22:22">
      <c r="V3261" s="16"/>
    </row>
    <row r="3262" spans="22:22">
      <c r="V3262" s="16"/>
    </row>
    <row r="3263" spans="22:22">
      <c r="V3263" s="16"/>
    </row>
    <row r="3264" spans="22:22">
      <c r="V3264" s="16"/>
    </row>
    <row r="3265" spans="22:22">
      <c r="V3265" s="16"/>
    </row>
    <row r="3266" spans="22:22">
      <c r="V3266" s="16"/>
    </row>
    <row r="3267" spans="22:22">
      <c r="V3267" s="16"/>
    </row>
    <row r="3268" spans="22:22">
      <c r="V3268" s="16"/>
    </row>
    <row r="3269" spans="22:22">
      <c r="V3269" s="16"/>
    </row>
    <row r="3270" spans="22:22">
      <c r="V3270" s="16"/>
    </row>
    <row r="3271" spans="22:22">
      <c r="V3271" s="16"/>
    </row>
    <row r="3272" spans="22:22">
      <c r="V3272" s="16"/>
    </row>
    <row r="3273" spans="22:22">
      <c r="V3273" s="16"/>
    </row>
    <row r="3274" spans="22:22">
      <c r="V3274" s="16"/>
    </row>
    <row r="3275" spans="22:22">
      <c r="V3275" s="16"/>
    </row>
    <row r="3276" spans="22:22">
      <c r="V3276" s="16"/>
    </row>
    <row r="3277" spans="22:22">
      <c r="V3277" s="16"/>
    </row>
    <row r="3278" spans="22:22">
      <c r="V3278" s="16"/>
    </row>
    <row r="3279" spans="22:22">
      <c r="V3279" s="16"/>
    </row>
    <row r="3280" spans="22:22">
      <c r="V3280" s="16"/>
    </row>
    <row r="3281" spans="22:22">
      <c r="V3281" s="16"/>
    </row>
    <row r="3282" spans="22:22">
      <c r="V3282" s="16"/>
    </row>
    <row r="3283" spans="22:22">
      <c r="V3283" s="16"/>
    </row>
    <row r="3284" spans="22:22">
      <c r="V3284" s="16"/>
    </row>
    <row r="3285" spans="22:22">
      <c r="V3285" s="16"/>
    </row>
    <row r="3286" spans="22:22">
      <c r="V3286" s="16"/>
    </row>
    <row r="3287" spans="22:22">
      <c r="V3287" s="16"/>
    </row>
    <row r="3288" spans="22:22">
      <c r="V3288" s="16"/>
    </row>
    <row r="3289" spans="22:22">
      <c r="V3289" s="16"/>
    </row>
    <row r="3290" spans="22:22">
      <c r="V3290" s="16"/>
    </row>
    <row r="3291" spans="22:22">
      <c r="V3291" s="16"/>
    </row>
    <row r="3292" spans="22:22">
      <c r="V3292" s="16"/>
    </row>
    <row r="3293" spans="22:22">
      <c r="V3293" s="16"/>
    </row>
    <row r="3294" spans="22:22">
      <c r="V3294" s="16"/>
    </row>
    <row r="3295" spans="22:22">
      <c r="V3295" s="16"/>
    </row>
    <row r="3296" spans="22:22">
      <c r="V3296" s="16"/>
    </row>
    <row r="3297" spans="22:22">
      <c r="V3297" s="16"/>
    </row>
    <row r="3298" spans="22:22">
      <c r="V3298" s="16"/>
    </row>
    <row r="3299" spans="22:22">
      <c r="V3299" s="16"/>
    </row>
    <row r="3300" spans="22:22">
      <c r="V3300" s="16"/>
    </row>
    <row r="3301" spans="22:22">
      <c r="V3301" s="16"/>
    </row>
    <row r="3302" spans="22:22">
      <c r="V3302" s="16"/>
    </row>
    <row r="3303" spans="22:22">
      <c r="V3303" s="16"/>
    </row>
    <row r="3304" spans="22:22">
      <c r="V3304" s="16"/>
    </row>
    <row r="3305" spans="22:22">
      <c r="V3305" s="16"/>
    </row>
    <row r="3306" spans="22:22">
      <c r="V3306" s="16"/>
    </row>
    <row r="3307" spans="22:22">
      <c r="V3307" s="16"/>
    </row>
    <row r="3308" spans="22:22">
      <c r="V3308" s="16"/>
    </row>
    <row r="3309" spans="22:22">
      <c r="V3309" s="16"/>
    </row>
    <row r="3310" spans="22:22">
      <c r="V3310" s="16"/>
    </row>
    <row r="3311" spans="22:22">
      <c r="V3311" s="16"/>
    </row>
    <row r="3312" spans="22:22">
      <c r="V3312" s="16"/>
    </row>
    <row r="3313" spans="22:22">
      <c r="V3313" s="16"/>
    </row>
    <row r="3314" spans="22:22">
      <c r="V3314" s="16"/>
    </row>
    <row r="3315" spans="22:22">
      <c r="V3315" s="16"/>
    </row>
    <row r="3316" spans="22:22">
      <c r="V3316" s="16"/>
    </row>
    <row r="3317" spans="22:22">
      <c r="V3317" s="16"/>
    </row>
    <row r="3318" spans="22:22">
      <c r="V3318" s="16"/>
    </row>
    <row r="3319" spans="22:22">
      <c r="V3319" s="16"/>
    </row>
    <row r="3320" spans="22:22">
      <c r="V3320" s="16"/>
    </row>
    <row r="3321" spans="22:22">
      <c r="V3321" s="16"/>
    </row>
    <row r="3322" spans="22:22">
      <c r="V3322" s="16"/>
    </row>
    <row r="3323" spans="22:22">
      <c r="V3323" s="16"/>
    </row>
    <row r="3324" spans="22:22">
      <c r="V3324" s="16"/>
    </row>
    <row r="3325" spans="22:22">
      <c r="V3325" s="16"/>
    </row>
    <row r="3326" spans="22:22">
      <c r="V3326" s="16"/>
    </row>
    <row r="3327" spans="22:22">
      <c r="V3327" s="16"/>
    </row>
    <row r="3328" spans="22:22">
      <c r="V3328" s="16"/>
    </row>
    <row r="3329" spans="22:22">
      <c r="V3329" s="16"/>
    </row>
    <row r="3330" spans="22:22">
      <c r="V3330" s="16"/>
    </row>
    <row r="3331" spans="22:22">
      <c r="V3331" s="16"/>
    </row>
    <row r="3332" spans="22:22">
      <c r="V3332" s="16"/>
    </row>
    <row r="3333" spans="22:22">
      <c r="V3333" s="16"/>
    </row>
    <row r="3334" spans="22:22">
      <c r="V3334" s="16"/>
    </row>
    <row r="3335" spans="22:22">
      <c r="V3335" s="16"/>
    </row>
    <row r="3336" spans="22:22">
      <c r="V3336" s="16"/>
    </row>
    <row r="3337" spans="22:22">
      <c r="V3337" s="16"/>
    </row>
    <row r="3338" spans="22:22">
      <c r="V3338" s="16"/>
    </row>
    <row r="3339" spans="22:22">
      <c r="V3339" s="16"/>
    </row>
    <row r="3340" spans="22:22">
      <c r="V3340" s="16"/>
    </row>
    <row r="3341" spans="22:22">
      <c r="V3341" s="16"/>
    </row>
    <row r="3342" spans="22:22">
      <c r="V3342" s="16"/>
    </row>
    <row r="3343" spans="22:22">
      <c r="V3343" s="16"/>
    </row>
    <row r="3344" spans="22:22">
      <c r="V3344" s="16"/>
    </row>
    <row r="3345" spans="22:22">
      <c r="V3345" s="16"/>
    </row>
    <row r="3346" spans="22:22">
      <c r="V3346" s="16"/>
    </row>
    <row r="3347" spans="22:22">
      <c r="V3347" s="16"/>
    </row>
    <row r="3348" spans="22:22">
      <c r="V3348" s="16"/>
    </row>
    <row r="3349" spans="22:22">
      <c r="V3349" s="16"/>
    </row>
    <row r="3350" spans="22:22">
      <c r="V3350" s="16"/>
    </row>
    <row r="3351" spans="22:22">
      <c r="V3351" s="16"/>
    </row>
    <row r="3352" spans="22:22">
      <c r="V3352" s="16"/>
    </row>
    <row r="3353" spans="22:22">
      <c r="V3353" s="16"/>
    </row>
    <row r="3354" spans="22:22">
      <c r="V3354" s="16"/>
    </row>
    <row r="3355" spans="22:22">
      <c r="V3355" s="16"/>
    </row>
    <row r="3356" spans="22:22">
      <c r="V3356" s="16"/>
    </row>
    <row r="3357" spans="22:22">
      <c r="V3357" s="16"/>
    </row>
    <row r="3358" spans="22:22">
      <c r="V3358" s="16"/>
    </row>
    <row r="3359" spans="22:22">
      <c r="V3359" s="16"/>
    </row>
    <row r="3360" spans="22:22">
      <c r="V3360" s="16"/>
    </row>
    <row r="3361" spans="22:22">
      <c r="V3361" s="16"/>
    </row>
    <row r="3362" spans="22:22">
      <c r="V3362" s="16"/>
    </row>
    <row r="3363" spans="22:22">
      <c r="V3363" s="16"/>
    </row>
    <row r="3364" spans="22:22">
      <c r="V3364" s="16"/>
    </row>
    <row r="3365" spans="22:22">
      <c r="V3365" s="16"/>
    </row>
    <row r="3366" spans="22:22">
      <c r="V3366" s="16"/>
    </row>
    <row r="3367" spans="22:22">
      <c r="V3367" s="16"/>
    </row>
    <row r="3368" spans="22:22">
      <c r="V3368" s="16"/>
    </row>
    <row r="3369" spans="22:22">
      <c r="V3369" s="16"/>
    </row>
    <row r="3370" spans="22:22">
      <c r="V3370" s="16"/>
    </row>
    <row r="3371" spans="22:22">
      <c r="V3371" s="16"/>
    </row>
    <row r="3372" spans="22:22">
      <c r="V3372" s="16"/>
    </row>
    <row r="3373" spans="22:22">
      <c r="V3373" s="16"/>
    </row>
    <row r="3374" spans="22:22">
      <c r="V3374" s="16"/>
    </row>
    <row r="3375" spans="22:22">
      <c r="V3375" s="16"/>
    </row>
    <row r="3376" spans="22:22">
      <c r="V3376" s="16"/>
    </row>
    <row r="3377" spans="22:22">
      <c r="V3377" s="16"/>
    </row>
    <row r="3378" spans="22:22">
      <c r="V3378" s="16"/>
    </row>
    <row r="3379" spans="22:22">
      <c r="V3379" s="16"/>
    </row>
    <row r="3380" spans="22:22">
      <c r="V3380" s="16"/>
    </row>
    <row r="3381" spans="22:22">
      <c r="V3381" s="16"/>
    </row>
    <row r="3382" spans="22:22">
      <c r="V3382" s="16"/>
    </row>
    <row r="3383" spans="22:22">
      <c r="V3383" s="16"/>
    </row>
    <row r="3384" spans="22:22">
      <c r="V3384" s="16"/>
    </row>
    <row r="3385" spans="22:22">
      <c r="V3385" s="16"/>
    </row>
    <row r="3386" spans="22:22">
      <c r="V3386" s="16"/>
    </row>
    <row r="3387" spans="22:22">
      <c r="V3387" s="16"/>
    </row>
    <row r="3388" spans="22:22">
      <c r="V3388" s="16"/>
    </row>
    <row r="3389" spans="22:22">
      <c r="V3389" s="16"/>
    </row>
    <row r="3390" spans="22:22">
      <c r="V3390" s="16"/>
    </row>
    <row r="3391" spans="22:22">
      <c r="V3391" s="16"/>
    </row>
    <row r="3392" spans="22:22">
      <c r="V3392" s="16"/>
    </row>
    <row r="3393" spans="22:22">
      <c r="V3393" s="16"/>
    </row>
    <row r="3394" spans="22:22">
      <c r="V3394" s="16"/>
    </row>
    <row r="3395" spans="22:22">
      <c r="V3395" s="16"/>
    </row>
    <row r="3396" spans="22:22">
      <c r="V3396" s="16"/>
    </row>
    <row r="3397" spans="22:22">
      <c r="V3397" s="16"/>
    </row>
    <row r="3398" spans="22:22">
      <c r="V3398" s="16"/>
    </row>
    <row r="3399" spans="22:22">
      <c r="V3399" s="16"/>
    </row>
    <row r="3400" spans="22:22">
      <c r="V3400" s="16"/>
    </row>
    <row r="3401" spans="22:22">
      <c r="V3401" s="16"/>
    </row>
    <row r="3402" spans="22:22">
      <c r="V3402" s="16"/>
    </row>
    <row r="3403" spans="22:22">
      <c r="V3403" s="16"/>
    </row>
    <row r="3404" spans="22:22">
      <c r="V3404" s="16"/>
    </row>
    <row r="3405" spans="22:22">
      <c r="V3405" s="16"/>
    </row>
    <row r="3406" spans="22:22">
      <c r="V3406" s="16"/>
    </row>
    <row r="3407" spans="22:22">
      <c r="V3407" s="16"/>
    </row>
    <row r="3408" spans="22:22">
      <c r="V3408" s="16"/>
    </row>
    <row r="3409" spans="22:22">
      <c r="V3409" s="16"/>
    </row>
    <row r="3410" spans="22:22">
      <c r="V3410" s="16"/>
    </row>
    <row r="3411" spans="22:22">
      <c r="V3411" s="16"/>
    </row>
    <row r="3412" spans="22:22">
      <c r="V3412" s="16"/>
    </row>
    <row r="3413" spans="22:22">
      <c r="V3413" s="16"/>
    </row>
    <row r="3414" spans="22:22">
      <c r="V3414" s="16"/>
    </row>
    <row r="3415" spans="22:22">
      <c r="V3415" s="16"/>
    </row>
    <row r="3416" spans="22:22">
      <c r="V3416" s="16"/>
    </row>
    <row r="3417" spans="22:22">
      <c r="V3417" s="16"/>
    </row>
    <row r="3418" spans="22:22">
      <c r="V3418" s="16"/>
    </row>
    <row r="3419" spans="22:22">
      <c r="V3419" s="16"/>
    </row>
    <row r="3420" spans="22:22">
      <c r="V3420" s="16"/>
    </row>
    <row r="3421" spans="22:22">
      <c r="V3421" s="16"/>
    </row>
    <row r="3422" spans="22:22">
      <c r="V3422" s="16"/>
    </row>
    <row r="3423" spans="22:22">
      <c r="V3423" s="16"/>
    </row>
    <row r="3424" spans="22:22">
      <c r="V3424" s="16"/>
    </row>
    <row r="3425" spans="22:22">
      <c r="V3425" s="16"/>
    </row>
    <row r="3426" spans="22:22">
      <c r="V3426" s="16"/>
    </row>
    <row r="3427" spans="22:22">
      <c r="V3427" s="16"/>
    </row>
    <row r="3428" spans="22:22">
      <c r="V3428" s="16"/>
    </row>
    <row r="3429" spans="22:22">
      <c r="V3429" s="16"/>
    </row>
    <row r="3430" spans="22:22">
      <c r="V3430" s="16"/>
    </row>
    <row r="3431" spans="22:22">
      <c r="V3431" s="16"/>
    </row>
    <row r="3432" spans="22:22">
      <c r="V3432" s="16"/>
    </row>
    <row r="3433" spans="22:22">
      <c r="V3433" s="16"/>
    </row>
    <row r="3434" spans="22:22">
      <c r="V3434" s="16"/>
    </row>
    <row r="3435" spans="22:22">
      <c r="V3435" s="16"/>
    </row>
    <row r="3436" spans="22:22">
      <c r="V3436" s="16"/>
    </row>
    <row r="3437" spans="22:22">
      <c r="V3437" s="16"/>
    </row>
    <row r="3438" spans="22:22">
      <c r="V3438" s="16"/>
    </row>
    <row r="3439" spans="22:22">
      <c r="V3439" s="16"/>
    </row>
    <row r="3440" spans="22:22">
      <c r="V3440" s="16"/>
    </row>
    <row r="3441" spans="22:22">
      <c r="V3441" s="16"/>
    </row>
    <row r="3442" spans="22:22">
      <c r="V3442" s="16"/>
    </row>
    <row r="3443" spans="22:22">
      <c r="V3443" s="16"/>
    </row>
    <row r="3444" spans="22:22">
      <c r="V3444" s="16"/>
    </row>
    <row r="3445" spans="22:22">
      <c r="V3445" s="16"/>
    </row>
    <row r="3446" spans="22:22">
      <c r="V3446" s="16"/>
    </row>
    <row r="3447" spans="22:22">
      <c r="V3447" s="16"/>
    </row>
    <row r="3448" spans="22:22">
      <c r="V3448" s="16"/>
    </row>
    <row r="3449" spans="22:22">
      <c r="V3449" s="16"/>
    </row>
    <row r="3450" spans="22:22">
      <c r="V3450" s="16"/>
    </row>
    <row r="3451" spans="22:22">
      <c r="V3451" s="16"/>
    </row>
    <row r="3452" spans="22:22">
      <c r="V3452" s="16"/>
    </row>
    <row r="3453" spans="22:22">
      <c r="V3453" s="16"/>
    </row>
    <row r="3454" spans="22:22">
      <c r="V3454" s="16"/>
    </row>
    <row r="3455" spans="22:22">
      <c r="V3455" s="16"/>
    </row>
    <row r="3456" spans="22:22">
      <c r="V3456" s="16"/>
    </row>
    <row r="3457" spans="22:22">
      <c r="V3457" s="16"/>
    </row>
    <row r="3458" spans="22:22">
      <c r="V3458" s="16"/>
    </row>
    <row r="3459" spans="22:22">
      <c r="V3459" s="16"/>
    </row>
    <row r="3460" spans="22:22">
      <c r="V3460" s="16"/>
    </row>
    <row r="3461" spans="22:22">
      <c r="V3461" s="16"/>
    </row>
    <row r="3462" spans="22:22">
      <c r="V3462" s="16"/>
    </row>
    <row r="3463" spans="22:22">
      <c r="V3463" s="16"/>
    </row>
    <row r="3464" spans="22:22">
      <c r="V3464" s="16"/>
    </row>
    <row r="3465" spans="22:22">
      <c r="V3465" s="16"/>
    </row>
    <row r="3466" spans="22:22">
      <c r="V3466" s="16"/>
    </row>
    <row r="3467" spans="22:22">
      <c r="V3467" s="16"/>
    </row>
    <row r="3468" spans="22:22">
      <c r="V3468" s="16"/>
    </row>
    <row r="3469" spans="22:22">
      <c r="V3469" s="16"/>
    </row>
    <row r="3470" spans="22:22">
      <c r="V3470" s="16"/>
    </row>
    <row r="3471" spans="22:22">
      <c r="V3471" s="16"/>
    </row>
    <row r="3472" spans="22:22">
      <c r="V3472" s="16"/>
    </row>
    <row r="3473" spans="22:22">
      <c r="V3473" s="16"/>
    </row>
    <row r="3474" spans="22:22">
      <c r="V3474" s="16"/>
    </row>
    <row r="3475" spans="22:22">
      <c r="V3475" s="16"/>
    </row>
    <row r="3476" spans="22:22">
      <c r="V3476" s="16"/>
    </row>
    <row r="3477" spans="22:22">
      <c r="V3477" s="16"/>
    </row>
    <row r="3478" spans="22:22">
      <c r="V3478" s="16"/>
    </row>
    <row r="3479" spans="22:22">
      <c r="V3479" s="16"/>
    </row>
    <row r="3480" spans="22:22">
      <c r="V3480" s="16"/>
    </row>
    <row r="3481" spans="22:22">
      <c r="V3481" s="16"/>
    </row>
    <row r="3482" spans="22:22">
      <c r="V3482" s="16"/>
    </row>
    <row r="3483" spans="22:22">
      <c r="V3483" s="16"/>
    </row>
    <row r="3484" spans="22:22">
      <c r="V3484" s="16"/>
    </row>
    <row r="3485" spans="22:22">
      <c r="V3485" s="16"/>
    </row>
    <row r="3486" spans="22:22">
      <c r="V3486" s="16"/>
    </row>
    <row r="3487" spans="22:22">
      <c r="V3487" s="16"/>
    </row>
    <row r="3488" spans="22:22">
      <c r="V3488" s="16"/>
    </row>
    <row r="3489" spans="22:22">
      <c r="V3489" s="16"/>
    </row>
    <row r="3490" spans="22:22">
      <c r="V3490" s="16"/>
    </row>
    <row r="3491" spans="22:22">
      <c r="V3491" s="16"/>
    </row>
    <row r="3492" spans="22:22">
      <c r="V3492" s="16"/>
    </row>
    <row r="3493" spans="22:22">
      <c r="V3493" s="16"/>
    </row>
    <row r="3494" spans="22:22">
      <c r="V3494" s="16"/>
    </row>
    <row r="3495" spans="22:22">
      <c r="V3495" s="16"/>
    </row>
    <row r="3496" spans="22:22">
      <c r="V3496" s="16"/>
    </row>
    <row r="3497" spans="22:22">
      <c r="V3497" s="16"/>
    </row>
    <row r="3498" spans="22:22">
      <c r="V3498" s="16"/>
    </row>
    <row r="3499" spans="22:22">
      <c r="V3499" s="16"/>
    </row>
    <row r="3500" spans="22:22">
      <c r="V3500" s="16"/>
    </row>
    <row r="3501" spans="22:22">
      <c r="V3501" s="16"/>
    </row>
    <row r="3502" spans="22:22">
      <c r="V3502" s="16"/>
    </row>
    <row r="3503" spans="22:22">
      <c r="V3503" s="16"/>
    </row>
    <row r="3504" spans="22:22">
      <c r="V3504" s="16"/>
    </row>
    <row r="3505" spans="22:22">
      <c r="V3505" s="16"/>
    </row>
    <row r="3506" spans="22:22">
      <c r="V3506" s="16"/>
    </row>
    <row r="3507" spans="22:22">
      <c r="V3507" s="16"/>
    </row>
    <row r="3508" spans="22:22">
      <c r="V3508" s="16"/>
    </row>
    <row r="3509" spans="22:22">
      <c r="V3509" s="16"/>
    </row>
    <row r="3510" spans="22:22">
      <c r="V3510" s="16"/>
    </row>
    <row r="3511" spans="22:22">
      <c r="V3511" s="16"/>
    </row>
    <row r="3512" spans="22:22">
      <c r="V3512" s="16"/>
    </row>
    <row r="3513" spans="22:22">
      <c r="V3513" s="16"/>
    </row>
    <row r="3514" spans="22:22">
      <c r="V3514" s="16"/>
    </row>
    <row r="3515" spans="22:22">
      <c r="V3515" s="16"/>
    </row>
    <row r="3516" spans="22:22">
      <c r="V3516" s="16"/>
    </row>
    <row r="3517" spans="22:22">
      <c r="V3517" s="16"/>
    </row>
    <row r="3518" spans="22:22">
      <c r="V3518" s="16"/>
    </row>
    <row r="3519" spans="22:22">
      <c r="V3519" s="16"/>
    </row>
    <row r="3520" spans="22:22">
      <c r="V3520" s="16"/>
    </row>
    <row r="3521" spans="22:22">
      <c r="V3521" s="16"/>
    </row>
    <row r="3522" spans="22:22">
      <c r="V3522" s="16"/>
    </row>
    <row r="3523" spans="22:22">
      <c r="V3523" s="16"/>
    </row>
    <row r="3524" spans="22:22">
      <c r="V3524" s="16"/>
    </row>
    <row r="3525" spans="22:22">
      <c r="V3525" s="16"/>
    </row>
    <row r="3526" spans="22:22">
      <c r="V3526" s="16"/>
    </row>
    <row r="3527" spans="22:22">
      <c r="V3527" s="16"/>
    </row>
    <row r="3528" spans="22:22">
      <c r="V3528" s="16"/>
    </row>
    <row r="3529" spans="22:22">
      <c r="V3529" s="16"/>
    </row>
    <row r="3530" spans="22:22">
      <c r="V3530" s="16"/>
    </row>
    <row r="3531" spans="22:22">
      <c r="V3531" s="16"/>
    </row>
    <row r="3532" spans="22:22">
      <c r="V3532" s="16"/>
    </row>
    <row r="3533" spans="22:22">
      <c r="V3533" s="16"/>
    </row>
    <row r="3534" spans="22:22">
      <c r="V3534" s="16"/>
    </row>
    <row r="3535" spans="22:22">
      <c r="V3535" s="16"/>
    </row>
    <row r="3536" spans="22:22">
      <c r="V3536" s="16"/>
    </row>
    <row r="3537" spans="22:22">
      <c r="V3537" s="16"/>
    </row>
    <row r="3538" spans="22:22">
      <c r="V3538" s="16"/>
    </row>
    <row r="3539" spans="22:22">
      <c r="V3539" s="16"/>
    </row>
    <row r="3540" spans="22:22">
      <c r="V3540" s="16"/>
    </row>
    <row r="3541" spans="22:22">
      <c r="V3541" s="16"/>
    </row>
    <row r="3542" spans="22:22">
      <c r="V3542" s="16"/>
    </row>
    <row r="3543" spans="22:22">
      <c r="V3543" s="16"/>
    </row>
    <row r="3544" spans="22:22">
      <c r="V3544" s="16"/>
    </row>
    <row r="3545" spans="22:22">
      <c r="V3545" s="16"/>
    </row>
    <row r="3546" spans="22:22">
      <c r="V3546" s="16"/>
    </row>
    <row r="3547" spans="22:22">
      <c r="V3547" s="16"/>
    </row>
    <row r="3548" spans="22:22">
      <c r="V3548" s="16"/>
    </row>
    <row r="3549" spans="22:22">
      <c r="V3549" s="16"/>
    </row>
    <row r="3550" spans="22:22">
      <c r="V3550" s="16"/>
    </row>
    <row r="3551" spans="22:22">
      <c r="V3551" s="16"/>
    </row>
    <row r="3552" spans="22:22">
      <c r="V3552" s="16"/>
    </row>
    <row r="3553" spans="22:22">
      <c r="V3553" s="16"/>
    </row>
    <row r="3554" spans="22:22">
      <c r="V3554" s="16"/>
    </row>
    <row r="3555" spans="22:22">
      <c r="V3555" s="16"/>
    </row>
    <row r="3556" spans="22:22">
      <c r="V3556" s="16"/>
    </row>
    <row r="3557" spans="22:22">
      <c r="V3557" s="16"/>
    </row>
    <row r="3558" spans="22:22">
      <c r="V3558" s="16"/>
    </row>
    <row r="3559" spans="22:22">
      <c r="V3559" s="16"/>
    </row>
    <row r="3560" spans="22:22">
      <c r="V3560" s="16"/>
    </row>
    <row r="3561" spans="22:22">
      <c r="V3561" s="16"/>
    </row>
    <row r="3562" spans="22:22">
      <c r="V3562" s="16"/>
    </row>
    <row r="3563" spans="22:22">
      <c r="V3563" s="16"/>
    </row>
    <row r="3564" spans="22:22">
      <c r="V3564" s="16"/>
    </row>
    <row r="3565" spans="22:22">
      <c r="V3565" s="16"/>
    </row>
    <row r="3566" spans="22:22">
      <c r="V3566" s="16"/>
    </row>
    <row r="3567" spans="22:22">
      <c r="V3567" s="16"/>
    </row>
    <row r="3568" spans="22:22">
      <c r="V3568" s="16"/>
    </row>
    <row r="3569" spans="22:22">
      <c r="V3569" s="16"/>
    </row>
    <row r="3570" spans="22:22">
      <c r="V3570" s="16"/>
    </row>
    <row r="3571" spans="22:22">
      <c r="V3571" s="16"/>
    </row>
    <row r="3572" spans="22:22">
      <c r="V3572" s="16"/>
    </row>
    <row r="3573" spans="22:22">
      <c r="V3573" s="16"/>
    </row>
    <row r="3574" spans="22:22">
      <c r="V3574" s="16"/>
    </row>
    <row r="3575" spans="22:22">
      <c r="V3575" s="16"/>
    </row>
    <row r="3576" spans="22:22">
      <c r="V3576" s="16"/>
    </row>
    <row r="3577" spans="22:22">
      <c r="V3577" s="16"/>
    </row>
    <row r="3578" spans="22:22">
      <c r="V3578" s="16"/>
    </row>
    <row r="3579" spans="22:22">
      <c r="V3579" s="16"/>
    </row>
    <row r="3580" spans="22:22">
      <c r="V3580" s="16"/>
    </row>
    <row r="3581" spans="22:22">
      <c r="V3581" s="16"/>
    </row>
    <row r="3582" spans="22:22">
      <c r="V3582" s="16"/>
    </row>
    <row r="3583" spans="22:22">
      <c r="V3583" s="16"/>
    </row>
    <row r="3584" spans="22:22">
      <c r="V3584" s="16"/>
    </row>
    <row r="3585" spans="22:22">
      <c r="V3585" s="16"/>
    </row>
    <row r="3586" spans="22:22">
      <c r="V3586" s="16"/>
    </row>
    <row r="3587" spans="22:22">
      <c r="V3587" s="16"/>
    </row>
    <row r="3588" spans="22:22">
      <c r="V3588" s="16"/>
    </row>
    <row r="3589" spans="22:22">
      <c r="V3589" s="16"/>
    </row>
    <row r="3590" spans="22:22">
      <c r="V3590" s="16"/>
    </row>
    <row r="3591" spans="22:22">
      <c r="V3591" s="16"/>
    </row>
    <row r="3592" spans="22:22">
      <c r="V3592" s="16"/>
    </row>
    <row r="3593" spans="22:22">
      <c r="V3593" s="16"/>
    </row>
    <row r="3594" spans="22:22">
      <c r="V3594" s="16"/>
    </row>
    <row r="3595" spans="22:22">
      <c r="V3595" s="16"/>
    </row>
    <row r="3596" spans="22:22">
      <c r="V3596" s="16"/>
    </row>
    <row r="3597" spans="22:22">
      <c r="V3597" s="16"/>
    </row>
    <row r="3598" spans="22:22">
      <c r="V3598" s="16"/>
    </row>
    <row r="3599" spans="22:22">
      <c r="V3599" s="16"/>
    </row>
    <row r="3600" spans="22:22">
      <c r="V3600" s="16"/>
    </row>
    <row r="3601" spans="22:22">
      <c r="V3601" s="16"/>
    </row>
    <row r="3602" spans="22:22">
      <c r="V3602" s="16"/>
    </row>
    <row r="3603" spans="22:22">
      <c r="V3603" s="16"/>
    </row>
    <row r="3604" spans="22:22">
      <c r="V3604" s="16"/>
    </row>
    <row r="3605" spans="22:22">
      <c r="V3605" s="16"/>
    </row>
    <row r="3606" spans="22:22">
      <c r="V3606" s="16"/>
    </row>
    <row r="3607" spans="22:22">
      <c r="V3607" s="16"/>
    </row>
    <row r="3608" spans="22:22">
      <c r="V3608" s="16"/>
    </row>
    <row r="3609" spans="22:22">
      <c r="V3609" s="16"/>
    </row>
    <row r="3610" spans="22:22">
      <c r="V3610" s="16"/>
    </row>
    <row r="3611" spans="22:22">
      <c r="V3611" s="16"/>
    </row>
    <row r="3612" spans="22:22">
      <c r="V3612" s="16"/>
    </row>
    <row r="3613" spans="22:22">
      <c r="V3613" s="16"/>
    </row>
    <row r="3614" spans="22:22">
      <c r="V3614" s="16"/>
    </row>
    <row r="3615" spans="22:22">
      <c r="V3615" s="16"/>
    </row>
    <row r="3616" spans="22:22">
      <c r="V3616" s="16"/>
    </row>
    <row r="3617" spans="22:22">
      <c r="V3617" s="16"/>
    </row>
    <row r="3618" spans="22:22">
      <c r="V3618" s="16"/>
    </row>
    <row r="3619" spans="22:22">
      <c r="V3619" s="16"/>
    </row>
    <row r="3620" spans="22:22">
      <c r="V3620" s="16"/>
    </row>
    <row r="3621" spans="22:22">
      <c r="V3621" s="16"/>
    </row>
    <row r="3622" spans="22:22">
      <c r="V3622" s="16"/>
    </row>
    <row r="3623" spans="22:22">
      <c r="V3623" s="16"/>
    </row>
    <row r="3624" spans="22:22">
      <c r="V3624" s="16"/>
    </row>
    <row r="3625" spans="22:22">
      <c r="V3625" s="16"/>
    </row>
    <row r="3626" spans="22:22">
      <c r="V3626" s="16"/>
    </row>
    <row r="3627" spans="22:22">
      <c r="V3627" s="16"/>
    </row>
    <row r="3628" spans="22:22">
      <c r="V3628" s="16"/>
    </row>
    <row r="3629" spans="22:22">
      <c r="V3629" s="16"/>
    </row>
    <row r="3630" spans="22:22">
      <c r="V3630" s="16"/>
    </row>
    <row r="3631" spans="22:22">
      <c r="V3631" s="16"/>
    </row>
    <row r="3632" spans="22:22">
      <c r="V3632" s="16"/>
    </row>
    <row r="3633" spans="22:22">
      <c r="V3633" s="16"/>
    </row>
    <row r="3634" spans="22:22">
      <c r="V3634" s="16"/>
    </row>
    <row r="3635" spans="22:22">
      <c r="V3635" s="16"/>
    </row>
    <row r="3636" spans="22:22">
      <c r="V3636" s="16"/>
    </row>
    <row r="3637" spans="22:22">
      <c r="V3637" s="16"/>
    </row>
    <row r="3638" spans="22:22">
      <c r="V3638" s="16"/>
    </row>
    <row r="3639" spans="22:22">
      <c r="V3639" s="16"/>
    </row>
    <row r="3640" spans="22:22">
      <c r="V3640" s="16"/>
    </row>
    <row r="3641" spans="22:22">
      <c r="V3641" s="16"/>
    </row>
    <row r="3642" spans="22:22">
      <c r="V3642" s="16"/>
    </row>
    <row r="3643" spans="22:22">
      <c r="V3643" s="16"/>
    </row>
    <row r="3644" spans="22:22">
      <c r="V3644" s="16"/>
    </row>
    <row r="3645" spans="22:22">
      <c r="V3645" s="16"/>
    </row>
    <row r="3646" spans="22:22">
      <c r="V3646" s="16"/>
    </row>
    <row r="3647" spans="22:22">
      <c r="V3647" s="16"/>
    </row>
    <row r="3648" spans="22:22">
      <c r="V3648" s="16"/>
    </row>
    <row r="3649" spans="22:22">
      <c r="V3649" s="16"/>
    </row>
    <row r="3650" spans="22:22">
      <c r="V3650" s="16"/>
    </row>
    <row r="3651" spans="22:22">
      <c r="V3651" s="16"/>
    </row>
    <row r="3652" spans="22:22">
      <c r="V3652" s="16"/>
    </row>
    <row r="3653" spans="22:22">
      <c r="V3653" s="16"/>
    </row>
    <row r="3654" spans="22:22">
      <c r="V3654" s="16"/>
    </row>
    <row r="3655" spans="22:22">
      <c r="V3655" s="16"/>
    </row>
    <row r="3656" spans="22:22">
      <c r="V3656" s="16"/>
    </row>
    <row r="3657" spans="22:22">
      <c r="V3657" s="16"/>
    </row>
    <row r="3658" spans="22:22">
      <c r="V3658" s="16"/>
    </row>
    <row r="3659" spans="22:22">
      <c r="V3659" s="16"/>
    </row>
    <row r="3660" spans="22:22">
      <c r="V3660" s="16"/>
    </row>
    <row r="3661" spans="22:22">
      <c r="V3661" s="16"/>
    </row>
    <row r="3662" spans="22:22">
      <c r="V3662" s="16"/>
    </row>
    <row r="3663" spans="22:22">
      <c r="V3663" s="16"/>
    </row>
    <row r="3664" spans="22:22">
      <c r="V3664" s="16"/>
    </row>
    <row r="3665" spans="22:22">
      <c r="V3665" s="16"/>
    </row>
    <row r="3666" spans="22:22">
      <c r="V3666" s="16"/>
    </row>
    <row r="3667" spans="22:22">
      <c r="V3667" s="16"/>
    </row>
    <row r="3668" spans="22:22">
      <c r="V3668" s="16"/>
    </row>
    <row r="3669" spans="22:22">
      <c r="V3669" s="16"/>
    </row>
    <row r="3670" spans="22:22">
      <c r="V3670" s="16"/>
    </row>
    <row r="3671" spans="22:22">
      <c r="V3671" s="16"/>
    </row>
    <row r="3672" spans="22:22">
      <c r="V3672" s="16"/>
    </row>
    <row r="3673" spans="22:22">
      <c r="V3673" s="16"/>
    </row>
    <row r="3674" spans="22:22">
      <c r="V3674" s="16"/>
    </row>
    <row r="3675" spans="22:22">
      <c r="V3675" s="16"/>
    </row>
    <row r="3676" spans="22:22">
      <c r="V3676" s="16"/>
    </row>
    <row r="3677" spans="22:22">
      <c r="V3677" s="16"/>
    </row>
    <row r="3678" spans="22:22">
      <c r="V3678" s="16"/>
    </row>
    <row r="3679" spans="22:22">
      <c r="V3679" s="16"/>
    </row>
    <row r="3680" spans="22:22">
      <c r="V3680" s="16"/>
    </row>
    <row r="3681" spans="22:22">
      <c r="V3681" s="16"/>
    </row>
    <row r="3682" spans="22:22">
      <c r="V3682" s="16"/>
    </row>
    <row r="3683" spans="22:22">
      <c r="V3683" s="16"/>
    </row>
    <row r="3684" spans="22:22">
      <c r="V3684" s="16"/>
    </row>
    <row r="3685" spans="22:22">
      <c r="V3685" s="16"/>
    </row>
    <row r="3686" spans="22:22">
      <c r="V3686" s="16"/>
    </row>
    <row r="3687" spans="22:22">
      <c r="V3687" s="16"/>
    </row>
    <row r="3688" spans="22:22">
      <c r="V3688" s="16"/>
    </row>
    <row r="3689" spans="22:22">
      <c r="V3689" s="16"/>
    </row>
    <row r="3690" spans="22:22">
      <c r="V3690" s="16"/>
    </row>
    <row r="3691" spans="22:22">
      <c r="V3691" s="16"/>
    </row>
    <row r="3692" spans="22:22">
      <c r="V3692" s="16"/>
    </row>
    <row r="3693" spans="22:22">
      <c r="V3693" s="16"/>
    </row>
    <row r="3694" spans="22:22">
      <c r="V3694" s="16"/>
    </row>
    <row r="3695" spans="22:22">
      <c r="V3695" s="16"/>
    </row>
    <row r="3696" spans="22:22">
      <c r="V3696" s="16"/>
    </row>
    <row r="3697" spans="22:22">
      <c r="V3697" s="16"/>
    </row>
    <row r="3698" spans="22:22">
      <c r="V3698" s="16"/>
    </row>
    <row r="3699" spans="22:22">
      <c r="V3699" s="16"/>
    </row>
    <row r="3700" spans="22:22">
      <c r="V3700" s="16"/>
    </row>
    <row r="3701" spans="22:22">
      <c r="V3701" s="16"/>
    </row>
    <row r="3702" spans="22:22">
      <c r="V3702" s="16"/>
    </row>
    <row r="3703" spans="22:22">
      <c r="V3703" s="16"/>
    </row>
    <row r="3704" spans="22:22">
      <c r="V3704" s="16"/>
    </row>
    <row r="3705" spans="22:22">
      <c r="V3705" s="16"/>
    </row>
    <row r="3706" spans="22:22">
      <c r="V3706" s="16"/>
    </row>
    <row r="3707" spans="22:22">
      <c r="V3707" s="16"/>
    </row>
    <row r="3708" spans="22:22">
      <c r="V3708" s="16"/>
    </row>
    <row r="3709" spans="22:22">
      <c r="V3709" s="16"/>
    </row>
    <row r="3710" spans="22:22">
      <c r="V3710" s="16"/>
    </row>
    <row r="3711" spans="22:22">
      <c r="V3711" s="16"/>
    </row>
    <row r="3712" spans="22:22">
      <c r="V3712" s="16"/>
    </row>
    <row r="3713" spans="22:22">
      <c r="V3713" s="16"/>
    </row>
    <row r="3714" spans="22:22">
      <c r="V3714" s="16"/>
    </row>
    <row r="3715" spans="22:22">
      <c r="V3715" s="16"/>
    </row>
    <row r="3716" spans="22:22">
      <c r="V3716" s="16"/>
    </row>
    <row r="3717" spans="22:22">
      <c r="V3717" s="16"/>
    </row>
    <row r="3718" spans="22:22">
      <c r="V3718" s="16"/>
    </row>
    <row r="3719" spans="22:22">
      <c r="V3719" s="16"/>
    </row>
    <row r="3720" spans="22:22">
      <c r="V3720" s="16"/>
    </row>
    <row r="3721" spans="22:22">
      <c r="V3721" s="16"/>
    </row>
    <row r="3722" spans="22:22">
      <c r="V3722" s="16"/>
    </row>
    <row r="3723" spans="22:22">
      <c r="V3723" s="16"/>
    </row>
    <row r="3724" spans="22:22">
      <c r="V3724" s="16"/>
    </row>
    <row r="3725" spans="22:22">
      <c r="V3725" s="16"/>
    </row>
    <row r="3726" spans="22:22">
      <c r="V3726" s="16"/>
    </row>
    <row r="3727" spans="22:22">
      <c r="V3727" s="16"/>
    </row>
    <row r="3728" spans="22:22">
      <c r="V3728" s="16"/>
    </row>
    <row r="3729" spans="22:22">
      <c r="V3729" s="16"/>
    </row>
    <row r="3730" spans="22:22">
      <c r="V3730" s="16"/>
    </row>
    <row r="3731" spans="22:22">
      <c r="V3731" s="16"/>
    </row>
    <row r="3732" spans="22:22">
      <c r="V3732" s="16"/>
    </row>
    <row r="3733" spans="22:22">
      <c r="V3733" s="16"/>
    </row>
    <row r="3734" spans="22:22">
      <c r="V3734" s="16"/>
    </row>
    <row r="3735" spans="22:22">
      <c r="V3735" s="16"/>
    </row>
    <row r="3736" spans="22:22">
      <c r="V3736" s="16"/>
    </row>
    <row r="3737" spans="22:22">
      <c r="V3737" s="16"/>
    </row>
    <row r="3738" spans="22:22">
      <c r="V3738" s="16"/>
    </row>
    <row r="3739" spans="22:22">
      <c r="V3739" s="16"/>
    </row>
    <row r="3740" spans="22:22">
      <c r="V3740" s="16"/>
    </row>
    <row r="3741" spans="22:22">
      <c r="V3741" s="16"/>
    </row>
    <row r="3742" spans="22:22">
      <c r="V3742" s="16"/>
    </row>
    <row r="3743" spans="22:22">
      <c r="V3743" s="16"/>
    </row>
    <row r="3744" spans="22:22">
      <c r="V3744" s="16"/>
    </row>
    <row r="3745" spans="22:22">
      <c r="V3745" s="16"/>
    </row>
    <row r="3746" spans="22:22">
      <c r="V3746" s="16"/>
    </row>
    <row r="3747" spans="22:22">
      <c r="V3747" s="16"/>
    </row>
    <row r="3748" spans="22:22">
      <c r="V3748" s="16"/>
    </row>
    <row r="3749" spans="22:22">
      <c r="V3749" s="16"/>
    </row>
    <row r="3750" spans="22:22">
      <c r="V3750" s="16"/>
    </row>
    <row r="3751" spans="22:22">
      <c r="V3751" s="16"/>
    </row>
    <row r="3752" spans="22:22">
      <c r="V3752" s="16"/>
    </row>
    <row r="3753" spans="22:22">
      <c r="V3753" s="16"/>
    </row>
    <row r="3754" spans="22:22">
      <c r="V3754" s="16"/>
    </row>
    <row r="3755" spans="22:22">
      <c r="V3755" s="16"/>
    </row>
    <row r="3756" spans="22:22">
      <c r="V3756" s="16"/>
    </row>
    <row r="3757" spans="22:22">
      <c r="V3757" s="16"/>
    </row>
    <row r="3758" spans="22:22">
      <c r="V3758" s="16"/>
    </row>
    <row r="3759" spans="22:22">
      <c r="V3759" s="16"/>
    </row>
    <row r="3760" spans="22:22">
      <c r="V3760" s="16"/>
    </row>
    <row r="3761" spans="22:22">
      <c r="V3761" s="16"/>
    </row>
    <row r="3762" spans="22:22">
      <c r="V3762" s="16"/>
    </row>
    <row r="3763" spans="22:22">
      <c r="V3763" s="16"/>
    </row>
    <row r="3764" spans="22:22">
      <c r="V3764" s="16"/>
    </row>
    <row r="3765" spans="22:22">
      <c r="V3765" s="16"/>
    </row>
    <row r="3766" spans="22:22">
      <c r="V3766" s="16"/>
    </row>
    <row r="3767" spans="22:22">
      <c r="V3767" s="16"/>
    </row>
    <row r="3768" spans="22:22">
      <c r="V3768" s="16"/>
    </row>
    <row r="3769" spans="22:22">
      <c r="V3769" s="16"/>
    </row>
    <row r="3770" spans="22:22">
      <c r="V3770" s="16"/>
    </row>
    <row r="3771" spans="22:22">
      <c r="V3771" s="16"/>
    </row>
    <row r="3772" spans="22:22">
      <c r="V3772" s="16"/>
    </row>
    <row r="3773" spans="22:22">
      <c r="V3773" s="16"/>
    </row>
    <row r="3774" spans="22:22">
      <c r="V3774" s="16"/>
    </row>
    <row r="3775" spans="22:22">
      <c r="V3775" s="16"/>
    </row>
    <row r="3776" spans="22:22">
      <c r="V3776" s="16"/>
    </row>
    <row r="3777" spans="22:22">
      <c r="V3777" s="16"/>
    </row>
    <row r="3778" spans="22:22">
      <c r="V3778" s="16"/>
    </row>
    <row r="3779" spans="22:22">
      <c r="V3779" s="16"/>
    </row>
    <row r="3780" spans="22:22">
      <c r="V3780" s="16"/>
    </row>
    <row r="3781" spans="22:22">
      <c r="V3781" s="16"/>
    </row>
    <row r="3782" spans="22:22">
      <c r="V3782" s="16"/>
    </row>
    <row r="3783" spans="22:22">
      <c r="V3783" s="16"/>
    </row>
    <row r="3784" spans="22:22">
      <c r="V3784" s="16"/>
    </row>
    <row r="3785" spans="22:22">
      <c r="V3785" s="16"/>
    </row>
    <row r="3786" spans="22:22">
      <c r="V3786" s="16"/>
    </row>
    <row r="3787" spans="22:22">
      <c r="V3787" s="16"/>
    </row>
    <row r="3788" spans="22:22">
      <c r="V3788" s="16"/>
    </row>
    <row r="3789" spans="22:22">
      <c r="V3789" s="16"/>
    </row>
    <row r="3790" spans="22:22">
      <c r="V3790" s="16"/>
    </row>
    <row r="3791" spans="22:22">
      <c r="V3791" s="16"/>
    </row>
    <row r="3792" spans="22:22">
      <c r="V3792" s="16"/>
    </row>
    <row r="3793" spans="22:22">
      <c r="V3793" s="16"/>
    </row>
    <row r="3794" spans="22:22">
      <c r="V3794" s="16"/>
    </row>
    <row r="3795" spans="22:22">
      <c r="V3795" s="16"/>
    </row>
    <row r="3796" spans="22:22">
      <c r="V3796" s="16"/>
    </row>
    <row r="3797" spans="22:22">
      <c r="V3797" s="16"/>
    </row>
    <row r="3798" spans="22:22">
      <c r="V3798" s="16"/>
    </row>
    <row r="3799" spans="22:22">
      <c r="V3799" s="16"/>
    </row>
    <row r="3800" spans="22:22">
      <c r="V3800" s="16"/>
    </row>
    <row r="3801" spans="22:22">
      <c r="V3801" s="16"/>
    </row>
    <row r="3802" spans="22:22">
      <c r="V3802" s="16"/>
    </row>
    <row r="3803" spans="22:22">
      <c r="V3803" s="16"/>
    </row>
    <row r="3804" spans="22:22">
      <c r="V3804" s="16"/>
    </row>
    <row r="3805" spans="22:22">
      <c r="V3805" s="16"/>
    </row>
    <row r="3806" spans="22:22">
      <c r="V3806" s="16"/>
    </row>
    <row r="3807" spans="22:22">
      <c r="V3807" s="16"/>
    </row>
    <row r="3808" spans="22:22">
      <c r="V3808" s="16"/>
    </row>
    <row r="3809" spans="22:22">
      <c r="V3809" s="16"/>
    </row>
    <row r="3810" spans="22:22">
      <c r="V3810" s="16"/>
    </row>
    <row r="3811" spans="22:22">
      <c r="V3811" s="16"/>
    </row>
    <row r="3812" spans="22:22">
      <c r="V3812" s="16"/>
    </row>
    <row r="3813" spans="22:22">
      <c r="V3813" s="16"/>
    </row>
    <row r="3814" spans="22:22">
      <c r="V3814" s="16"/>
    </row>
    <row r="3815" spans="22:22">
      <c r="V3815" s="16"/>
    </row>
    <row r="3816" spans="22:22">
      <c r="V3816" s="16"/>
    </row>
    <row r="3817" spans="22:22">
      <c r="V3817" s="16"/>
    </row>
    <row r="3818" spans="22:22">
      <c r="V3818" s="16"/>
    </row>
    <row r="3819" spans="22:22">
      <c r="V3819" s="16"/>
    </row>
    <row r="3820" spans="22:22">
      <c r="V3820" s="16"/>
    </row>
    <row r="3821" spans="22:22">
      <c r="V3821" s="16"/>
    </row>
    <row r="3822" spans="22:22">
      <c r="V3822" s="16"/>
    </row>
    <row r="3823" spans="22:22">
      <c r="V3823" s="16"/>
    </row>
    <row r="3824" spans="22:22">
      <c r="V3824" s="16"/>
    </row>
    <row r="3825" spans="22:22">
      <c r="V3825" s="16"/>
    </row>
    <row r="3826" spans="22:22">
      <c r="V3826" s="16"/>
    </row>
    <row r="3827" spans="22:22">
      <c r="V3827" s="16"/>
    </row>
    <row r="3828" spans="22:22">
      <c r="V3828" s="16"/>
    </row>
    <row r="3829" spans="22:22">
      <c r="V3829" s="16"/>
    </row>
    <row r="3830" spans="22:22">
      <c r="V3830" s="16"/>
    </row>
    <row r="3831" spans="22:22">
      <c r="V3831" s="16"/>
    </row>
    <row r="3832" spans="22:22">
      <c r="V3832" s="16"/>
    </row>
    <row r="3833" spans="22:22">
      <c r="V3833" s="16"/>
    </row>
    <row r="3834" spans="22:22">
      <c r="V3834" s="16"/>
    </row>
    <row r="3835" spans="22:22">
      <c r="V3835" s="16"/>
    </row>
    <row r="3836" spans="22:22">
      <c r="V3836" s="16"/>
    </row>
    <row r="3837" spans="22:22">
      <c r="V3837" s="16"/>
    </row>
    <row r="3838" spans="22:22">
      <c r="V3838" s="16"/>
    </row>
    <row r="3839" spans="22:22">
      <c r="V3839" s="16"/>
    </row>
    <row r="3840" spans="22:22">
      <c r="V3840" s="16"/>
    </row>
    <row r="3841" spans="22:22">
      <c r="V3841" s="16"/>
    </row>
    <row r="3842" spans="22:22">
      <c r="V3842" s="16"/>
    </row>
    <row r="3843" spans="22:22">
      <c r="V3843" s="16"/>
    </row>
    <row r="3844" spans="22:22">
      <c r="V3844" s="16"/>
    </row>
    <row r="3845" spans="22:22">
      <c r="V3845" s="16"/>
    </row>
    <row r="3846" spans="22:22">
      <c r="V3846" s="16"/>
    </row>
    <row r="3847" spans="22:22">
      <c r="V3847" s="16"/>
    </row>
    <row r="3848" spans="22:22">
      <c r="V3848" s="16"/>
    </row>
    <row r="3849" spans="22:22">
      <c r="V3849" s="16"/>
    </row>
    <row r="3850" spans="22:22">
      <c r="V3850" s="16"/>
    </row>
    <row r="3851" spans="22:22">
      <c r="V3851" s="16"/>
    </row>
    <row r="3852" spans="22:22">
      <c r="V3852" s="16"/>
    </row>
    <row r="3853" spans="22:22">
      <c r="V3853" s="16"/>
    </row>
    <row r="3854" spans="22:22">
      <c r="V3854" s="16"/>
    </row>
    <row r="3855" spans="22:22">
      <c r="V3855" s="16"/>
    </row>
    <row r="3856" spans="22:22">
      <c r="V3856" s="16"/>
    </row>
    <row r="3857" spans="22:22">
      <c r="V3857" s="16"/>
    </row>
    <row r="3858" spans="22:22">
      <c r="V3858" s="16"/>
    </row>
    <row r="3859" spans="22:22">
      <c r="V3859" s="16"/>
    </row>
    <row r="3860" spans="22:22">
      <c r="V3860" s="16"/>
    </row>
    <row r="3861" spans="22:22">
      <c r="V3861" s="16"/>
    </row>
    <row r="3862" spans="22:22">
      <c r="V3862" s="16"/>
    </row>
    <row r="3863" spans="22:22">
      <c r="V3863" s="16"/>
    </row>
    <row r="3864" spans="22:22">
      <c r="V3864" s="16"/>
    </row>
    <row r="3865" spans="22:22">
      <c r="V3865" s="16"/>
    </row>
    <row r="3866" spans="22:22">
      <c r="V3866" s="16"/>
    </row>
    <row r="3867" spans="22:22">
      <c r="V3867" s="16"/>
    </row>
    <row r="3868" spans="22:22">
      <c r="V3868" s="16"/>
    </row>
    <row r="3869" spans="22:22">
      <c r="V3869" s="16"/>
    </row>
    <row r="3870" spans="22:22">
      <c r="V3870" s="16"/>
    </row>
    <row r="3871" spans="22:22">
      <c r="V3871" s="16"/>
    </row>
    <row r="3872" spans="22:22">
      <c r="V3872" s="16"/>
    </row>
    <row r="3873" spans="22:22">
      <c r="V3873" s="16"/>
    </row>
    <row r="3874" spans="22:22">
      <c r="V3874" s="16"/>
    </row>
    <row r="3875" spans="22:22">
      <c r="V3875" s="16"/>
    </row>
    <row r="3876" spans="22:22">
      <c r="V3876" s="16"/>
    </row>
    <row r="3877" spans="22:22">
      <c r="V3877" s="16"/>
    </row>
    <row r="3878" spans="22:22">
      <c r="V3878" s="16"/>
    </row>
    <row r="3879" spans="22:22">
      <c r="V3879" s="16"/>
    </row>
    <row r="3880" spans="22:22">
      <c r="V3880" s="16"/>
    </row>
    <row r="3881" spans="22:22">
      <c r="V3881" s="16"/>
    </row>
    <row r="3882" spans="22:22">
      <c r="V3882" s="16"/>
    </row>
    <row r="3883" spans="22:22">
      <c r="V3883" s="16"/>
    </row>
    <row r="3884" spans="22:22">
      <c r="V3884" s="16"/>
    </row>
    <row r="3885" spans="22:22">
      <c r="V3885" s="16"/>
    </row>
    <row r="3886" spans="22:22">
      <c r="V3886" s="16"/>
    </row>
    <row r="3887" spans="22:22">
      <c r="V3887" s="16"/>
    </row>
    <row r="3888" spans="22:22">
      <c r="V3888" s="16"/>
    </row>
    <row r="3889" spans="22:22">
      <c r="V3889" s="16"/>
    </row>
    <row r="3890" spans="22:22">
      <c r="V3890" s="16"/>
    </row>
    <row r="3891" spans="22:22">
      <c r="V3891" s="16"/>
    </row>
    <row r="3892" spans="22:22">
      <c r="V3892" s="16"/>
    </row>
    <row r="3893" spans="22:22">
      <c r="V3893" s="16"/>
    </row>
    <row r="3894" spans="22:22">
      <c r="V3894" s="16"/>
    </row>
    <row r="3895" spans="22:22">
      <c r="V3895" s="16"/>
    </row>
    <row r="3896" spans="22:22">
      <c r="V3896" s="16"/>
    </row>
    <row r="3897" spans="22:22">
      <c r="V3897" s="16"/>
    </row>
    <row r="3898" spans="22:22">
      <c r="V3898" s="16"/>
    </row>
    <row r="3899" spans="22:22">
      <c r="V3899" s="16"/>
    </row>
    <row r="3900" spans="22:22">
      <c r="V3900" s="16"/>
    </row>
    <row r="3901" spans="22:22">
      <c r="V3901" s="16"/>
    </row>
    <row r="3902" spans="22:22">
      <c r="V3902" s="16"/>
    </row>
    <row r="3903" spans="22:22">
      <c r="V3903" s="16"/>
    </row>
    <row r="3904" spans="22:22">
      <c r="V3904" s="16"/>
    </row>
    <row r="3905" spans="22:22">
      <c r="V3905" s="16"/>
    </row>
    <row r="3906" spans="22:22">
      <c r="V3906" s="16"/>
    </row>
    <row r="3907" spans="22:22">
      <c r="V3907" s="16"/>
    </row>
    <row r="3908" spans="22:22">
      <c r="V3908" s="16"/>
    </row>
    <row r="3909" spans="22:22">
      <c r="V3909" s="16"/>
    </row>
    <row r="3910" spans="22:22">
      <c r="V3910" s="16"/>
    </row>
    <row r="3911" spans="22:22">
      <c r="V3911" s="16"/>
    </row>
    <row r="3912" spans="22:22">
      <c r="V3912" s="16"/>
    </row>
    <row r="3913" spans="22:22">
      <c r="V3913" s="16"/>
    </row>
    <row r="3914" spans="22:22">
      <c r="V3914" s="16"/>
    </row>
    <row r="3915" spans="22:22">
      <c r="V3915" s="16"/>
    </row>
    <row r="3916" spans="22:22">
      <c r="V3916" s="16"/>
    </row>
    <row r="3917" spans="22:22">
      <c r="V3917" s="16"/>
    </row>
    <row r="3918" spans="22:22">
      <c r="V3918" s="16"/>
    </row>
    <row r="3919" spans="22:22">
      <c r="V3919" s="16"/>
    </row>
    <row r="3920" spans="22:22">
      <c r="V3920" s="16"/>
    </row>
    <row r="3921" spans="22:22">
      <c r="V3921" s="16"/>
    </row>
    <row r="3922" spans="22:22">
      <c r="V3922" s="16"/>
    </row>
    <row r="3923" spans="22:22">
      <c r="V3923" s="16"/>
    </row>
    <row r="3924" spans="22:22">
      <c r="V3924" s="16"/>
    </row>
    <row r="3925" spans="22:22">
      <c r="V3925" s="16"/>
    </row>
    <row r="3926" spans="22:22">
      <c r="V3926" s="16"/>
    </row>
    <row r="3927" spans="22:22">
      <c r="V3927" s="16"/>
    </row>
    <row r="3928" spans="22:22">
      <c r="V3928" s="16"/>
    </row>
    <row r="3929" spans="22:22">
      <c r="V3929" s="16"/>
    </row>
    <row r="3930" spans="22:22">
      <c r="V3930" s="16"/>
    </row>
    <row r="3931" spans="22:22">
      <c r="V3931" s="16"/>
    </row>
    <row r="3932" spans="22:22">
      <c r="V3932" s="16"/>
    </row>
    <row r="3933" spans="22:22">
      <c r="V3933" s="16"/>
    </row>
    <row r="3934" spans="22:22">
      <c r="V3934" s="16"/>
    </row>
    <row r="3935" spans="22:22">
      <c r="V3935" s="16"/>
    </row>
    <row r="3936" spans="22:22">
      <c r="V3936" s="16"/>
    </row>
    <row r="3937" spans="22:22">
      <c r="V3937" s="16"/>
    </row>
    <row r="3938" spans="22:22">
      <c r="V3938" s="16"/>
    </row>
    <row r="3939" spans="22:22">
      <c r="V3939" s="16"/>
    </row>
    <row r="3940" spans="22:22">
      <c r="V3940" s="16"/>
    </row>
    <row r="3941" spans="22:22">
      <c r="V3941" s="16"/>
    </row>
    <row r="3942" spans="22:22">
      <c r="V3942" s="16"/>
    </row>
    <row r="3943" spans="22:22">
      <c r="V3943" s="16"/>
    </row>
    <row r="3944" spans="22:22">
      <c r="V3944" s="16"/>
    </row>
    <row r="3945" spans="22:22">
      <c r="V3945" s="16"/>
    </row>
    <row r="3946" spans="22:22">
      <c r="V3946" s="16"/>
    </row>
    <row r="3947" spans="22:22">
      <c r="V3947" s="16"/>
    </row>
    <row r="3948" spans="22:22">
      <c r="V3948" s="16"/>
    </row>
    <row r="3949" spans="22:22">
      <c r="V3949" s="16"/>
    </row>
    <row r="3950" spans="22:22">
      <c r="V3950" s="16"/>
    </row>
    <row r="3951" spans="22:22">
      <c r="V3951" s="16"/>
    </row>
    <row r="3952" spans="22:22">
      <c r="V3952" s="16"/>
    </row>
    <row r="3953" spans="22:22">
      <c r="V3953" s="16"/>
    </row>
    <row r="3954" spans="22:22">
      <c r="V3954" s="16"/>
    </row>
    <row r="3955" spans="22:22">
      <c r="V3955" s="16"/>
    </row>
    <row r="3956" spans="22:22">
      <c r="V3956" s="16"/>
    </row>
    <row r="3957" spans="22:22">
      <c r="V3957" s="16"/>
    </row>
    <row r="3958" spans="22:22">
      <c r="V3958" s="16"/>
    </row>
    <row r="3959" spans="22:22">
      <c r="V3959" s="16"/>
    </row>
    <row r="3960" spans="22:22">
      <c r="V3960" s="16"/>
    </row>
    <row r="3961" spans="22:22">
      <c r="V3961" s="16"/>
    </row>
    <row r="3962" spans="22:22">
      <c r="V3962" s="16"/>
    </row>
    <row r="3963" spans="22:22">
      <c r="V3963" s="16"/>
    </row>
    <row r="3964" spans="22:22">
      <c r="V3964" s="16"/>
    </row>
    <row r="3965" spans="22:22">
      <c r="V3965" s="16"/>
    </row>
    <row r="3966" spans="22:22">
      <c r="V3966" s="16"/>
    </row>
    <row r="3967" spans="22:22">
      <c r="V3967" s="16"/>
    </row>
    <row r="3968" spans="22:22">
      <c r="V3968" s="16"/>
    </row>
    <row r="3969" spans="22:22">
      <c r="V3969" s="16"/>
    </row>
    <row r="3970" spans="22:22">
      <c r="V3970" s="16"/>
    </row>
    <row r="3971" spans="22:22">
      <c r="V3971" s="16"/>
    </row>
    <row r="3972" spans="22:22">
      <c r="V3972" s="16"/>
    </row>
    <row r="3973" spans="22:22">
      <c r="V3973" s="16"/>
    </row>
    <row r="3974" spans="22:22">
      <c r="V3974" s="16"/>
    </row>
    <row r="3975" spans="22:22">
      <c r="V3975" s="16"/>
    </row>
    <row r="3976" spans="22:22">
      <c r="V3976" s="16"/>
    </row>
    <row r="3977" spans="22:22">
      <c r="V3977" s="16"/>
    </row>
    <row r="3978" spans="22:22">
      <c r="V3978" s="16"/>
    </row>
    <row r="3979" spans="22:22">
      <c r="V3979" s="16"/>
    </row>
    <row r="3980" spans="22:22">
      <c r="V3980" s="16"/>
    </row>
    <row r="3981" spans="22:22">
      <c r="V3981" s="16"/>
    </row>
    <row r="3982" spans="22:22">
      <c r="V3982" s="16"/>
    </row>
    <row r="3983" spans="22:22">
      <c r="V3983" s="16"/>
    </row>
    <row r="3984" spans="22:22">
      <c r="V3984" s="16"/>
    </row>
    <row r="3985" spans="22:22">
      <c r="V3985" s="16"/>
    </row>
    <row r="3986" spans="22:22">
      <c r="V3986" s="16"/>
    </row>
    <row r="3987" spans="22:22">
      <c r="V3987" s="16"/>
    </row>
    <row r="3988" spans="22:22">
      <c r="V3988" s="16"/>
    </row>
    <row r="3989" spans="22:22">
      <c r="V3989" s="16"/>
    </row>
    <row r="3990" spans="22:22">
      <c r="V3990" s="16"/>
    </row>
    <row r="3991" spans="22:22">
      <c r="V3991" s="16"/>
    </row>
    <row r="3992" spans="22:22">
      <c r="V3992" s="16"/>
    </row>
    <row r="3993" spans="22:22">
      <c r="V3993" s="16"/>
    </row>
    <row r="3994" spans="22:22">
      <c r="V3994" s="16"/>
    </row>
    <row r="3995" spans="22:22">
      <c r="V3995" s="16"/>
    </row>
    <row r="3996" spans="22:22">
      <c r="V3996" s="16"/>
    </row>
    <row r="3997" spans="22:22">
      <c r="V3997" s="16"/>
    </row>
    <row r="3998" spans="22:22">
      <c r="V3998" s="16"/>
    </row>
    <row r="3999" spans="22:22">
      <c r="V3999" s="16"/>
    </row>
    <row r="4000" spans="22:22">
      <c r="V4000" s="16"/>
    </row>
    <row r="4001" spans="22:22">
      <c r="V4001" s="16"/>
    </row>
    <row r="4002" spans="22:22">
      <c r="V4002" s="16"/>
    </row>
    <row r="4003" spans="22:22">
      <c r="V4003" s="16"/>
    </row>
    <row r="4004" spans="22:22">
      <c r="V4004" s="16"/>
    </row>
    <row r="4005" spans="22:22">
      <c r="V4005" s="16"/>
    </row>
    <row r="4006" spans="22:22">
      <c r="V4006" s="16"/>
    </row>
    <row r="4007" spans="22:22">
      <c r="V4007" s="16"/>
    </row>
    <row r="4008" spans="22:22">
      <c r="V4008" s="16"/>
    </row>
    <row r="4009" spans="22:22">
      <c r="V4009" s="16"/>
    </row>
    <row r="4010" spans="22:22">
      <c r="V4010" s="16"/>
    </row>
    <row r="4011" spans="22:22">
      <c r="V4011" s="16"/>
    </row>
    <row r="4012" spans="22:22">
      <c r="V4012" s="16"/>
    </row>
    <row r="4013" spans="22:22">
      <c r="V4013" s="16"/>
    </row>
    <row r="4014" spans="22:22">
      <c r="V4014" s="16"/>
    </row>
    <row r="4015" spans="22:22">
      <c r="V4015" s="16"/>
    </row>
    <row r="4016" spans="22:22">
      <c r="V4016" s="16"/>
    </row>
    <row r="4017" spans="22:22">
      <c r="V4017" s="16"/>
    </row>
    <row r="4018" spans="22:22">
      <c r="V4018" s="16"/>
    </row>
    <row r="4019" spans="22:22">
      <c r="V4019" s="16"/>
    </row>
    <row r="4020" spans="22:22">
      <c r="V4020" s="16"/>
    </row>
    <row r="4021" spans="22:22">
      <c r="V4021" s="16"/>
    </row>
    <row r="4022" spans="22:22">
      <c r="V4022" s="16"/>
    </row>
    <row r="4023" spans="22:22">
      <c r="V4023" s="16"/>
    </row>
    <row r="4024" spans="22:22">
      <c r="V4024" s="16"/>
    </row>
    <row r="4025" spans="22:22">
      <c r="V4025" s="16"/>
    </row>
    <row r="4026" spans="22:22">
      <c r="V4026" s="16"/>
    </row>
    <row r="4027" spans="22:22">
      <c r="V4027" s="16"/>
    </row>
    <row r="4028" spans="22:22">
      <c r="V4028" s="16"/>
    </row>
    <row r="4029" spans="22:22">
      <c r="V4029" s="16"/>
    </row>
    <row r="4030" spans="22:22">
      <c r="V4030" s="16"/>
    </row>
    <row r="4031" spans="22:22">
      <c r="V4031" s="16"/>
    </row>
    <row r="4032" spans="22:22">
      <c r="V4032" s="16"/>
    </row>
    <row r="4033" spans="22:22">
      <c r="V4033" s="16"/>
    </row>
    <row r="4034" spans="22:22">
      <c r="V4034" s="16"/>
    </row>
    <row r="4035" spans="22:22">
      <c r="V4035" s="16"/>
    </row>
    <row r="4036" spans="22:22">
      <c r="V4036" s="16"/>
    </row>
    <row r="4037" spans="22:22">
      <c r="V4037" s="16"/>
    </row>
    <row r="4038" spans="22:22">
      <c r="V4038" s="16"/>
    </row>
    <row r="4039" spans="22:22">
      <c r="V4039" s="16"/>
    </row>
    <row r="4040" spans="22:22">
      <c r="V4040" s="16"/>
    </row>
    <row r="4041" spans="22:22">
      <c r="V4041" s="16"/>
    </row>
    <row r="4042" spans="22:22">
      <c r="V4042" s="16"/>
    </row>
    <row r="4043" spans="22:22">
      <c r="V4043" s="16"/>
    </row>
    <row r="4044" spans="22:22">
      <c r="V4044" s="16"/>
    </row>
    <row r="4045" spans="22:22">
      <c r="V4045" s="16"/>
    </row>
    <row r="4046" spans="22:22">
      <c r="V4046" s="16"/>
    </row>
    <row r="4047" spans="22:22">
      <c r="V4047" s="16"/>
    </row>
    <row r="4048" spans="22:22">
      <c r="V4048" s="16"/>
    </row>
    <row r="4049" spans="22:22">
      <c r="V4049" s="16"/>
    </row>
    <row r="4050" spans="22:22">
      <c r="V4050" s="16"/>
    </row>
    <row r="4051" spans="22:22">
      <c r="V4051" s="16"/>
    </row>
    <row r="4052" spans="22:22">
      <c r="V4052" s="16"/>
    </row>
    <row r="4053" spans="22:22">
      <c r="V4053" s="16"/>
    </row>
    <row r="4054" spans="22:22">
      <c r="V4054" s="16"/>
    </row>
    <row r="4055" spans="22:22">
      <c r="V4055" s="16"/>
    </row>
    <row r="4056" spans="22:22">
      <c r="V4056" s="16"/>
    </row>
    <row r="4057" spans="22:22">
      <c r="V4057" s="16"/>
    </row>
    <row r="4058" spans="22:22">
      <c r="V4058" s="16"/>
    </row>
    <row r="4059" spans="22:22">
      <c r="V4059" s="16"/>
    </row>
    <row r="4060" spans="22:22">
      <c r="V4060" s="16"/>
    </row>
    <row r="4061" spans="22:22">
      <c r="V4061" s="16"/>
    </row>
    <row r="4062" spans="22:22">
      <c r="V4062" s="16"/>
    </row>
    <row r="4063" spans="22:22">
      <c r="V4063" s="16"/>
    </row>
    <row r="4064" spans="22:22">
      <c r="V4064" s="16"/>
    </row>
    <row r="4065" spans="22:22">
      <c r="V4065" s="16"/>
    </row>
    <row r="4066" spans="22:22">
      <c r="V4066" s="16"/>
    </row>
    <row r="4067" spans="22:22">
      <c r="V4067" s="16"/>
    </row>
    <row r="4068" spans="22:22">
      <c r="V4068" s="16"/>
    </row>
    <row r="4069" spans="22:22">
      <c r="V4069" s="16"/>
    </row>
    <row r="4070" spans="22:22">
      <c r="V4070" s="16"/>
    </row>
    <row r="4071" spans="22:22">
      <c r="V4071" s="16"/>
    </row>
    <row r="4072" spans="22:22">
      <c r="V4072" s="16"/>
    </row>
    <row r="4073" spans="22:22">
      <c r="V4073" s="16"/>
    </row>
    <row r="4074" spans="22:22">
      <c r="V4074" s="16"/>
    </row>
    <row r="4075" spans="22:22">
      <c r="V4075" s="16"/>
    </row>
    <row r="4076" spans="22:22">
      <c r="V4076" s="16"/>
    </row>
    <row r="4077" spans="22:22">
      <c r="V4077" s="16"/>
    </row>
    <row r="4078" spans="22:22">
      <c r="V4078" s="16"/>
    </row>
    <row r="4079" spans="22:22">
      <c r="V4079" s="16"/>
    </row>
    <row r="4080" spans="22:22">
      <c r="V4080" s="16"/>
    </row>
    <row r="4081" spans="22:22">
      <c r="V4081" s="16"/>
    </row>
    <row r="4082" spans="22:22">
      <c r="V4082" s="16"/>
    </row>
    <row r="4083" spans="22:22">
      <c r="V4083" s="16"/>
    </row>
    <row r="4084" spans="22:22">
      <c r="V4084" s="16"/>
    </row>
    <row r="4085" spans="22:22">
      <c r="V4085" s="16"/>
    </row>
    <row r="4086" spans="22:22">
      <c r="V4086" s="16"/>
    </row>
    <row r="4087" spans="22:22">
      <c r="V4087" s="16"/>
    </row>
    <row r="4088" spans="22:22">
      <c r="V4088" s="16"/>
    </row>
    <row r="4089" spans="22:22">
      <c r="V4089" s="16"/>
    </row>
    <row r="4090" spans="22:22">
      <c r="V4090" s="16"/>
    </row>
    <row r="4091" spans="22:22">
      <c r="V4091" s="16"/>
    </row>
    <row r="4092" spans="22:22">
      <c r="V4092" s="16"/>
    </row>
    <row r="4093" spans="22:22">
      <c r="V4093" s="16"/>
    </row>
    <row r="4094" spans="22:22">
      <c r="V4094" s="16"/>
    </row>
    <row r="4095" spans="22:22">
      <c r="V4095" s="16"/>
    </row>
    <row r="4096" spans="22:22">
      <c r="V4096" s="16"/>
    </row>
    <row r="4097" spans="22:22">
      <c r="V4097" s="16"/>
    </row>
    <row r="4098" spans="22:22">
      <c r="V4098" s="16"/>
    </row>
    <row r="4099" spans="22:22">
      <c r="V4099" s="16"/>
    </row>
    <row r="4100" spans="22:22">
      <c r="V4100" s="16"/>
    </row>
    <row r="4101" spans="22:22">
      <c r="V4101" s="16"/>
    </row>
    <row r="4102" spans="22:22">
      <c r="V4102" s="16"/>
    </row>
    <row r="4103" spans="22:22">
      <c r="V4103" s="16"/>
    </row>
    <row r="4104" spans="22:22">
      <c r="V4104" s="16"/>
    </row>
    <row r="4105" spans="22:22">
      <c r="V4105" s="16"/>
    </row>
    <row r="4106" spans="22:22">
      <c r="V4106" s="16"/>
    </row>
    <row r="4107" spans="22:22">
      <c r="V4107" s="16"/>
    </row>
    <row r="4108" spans="22:22">
      <c r="V4108" s="16"/>
    </row>
    <row r="4109" spans="22:22">
      <c r="V4109" s="16"/>
    </row>
    <row r="4110" spans="22:22">
      <c r="V4110" s="16"/>
    </row>
    <row r="4111" spans="22:22">
      <c r="V4111" s="16"/>
    </row>
    <row r="4112" spans="22:22">
      <c r="V4112" s="16"/>
    </row>
    <row r="4113" spans="22:22">
      <c r="V4113" s="16"/>
    </row>
    <row r="4114" spans="22:22">
      <c r="V4114" s="16"/>
    </row>
    <row r="4115" spans="22:22">
      <c r="V4115" s="16"/>
    </row>
    <row r="4116" spans="22:22">
      <c r="V4116" s="16"/>
    </row>
    <row r="4117" spans="22:22">
      <c r="V4117" s="16"/>
    </row>
    <row r="4118" spans="22:22">
      <c r="V4118" s="16"/>
    </row>
    <row r="4119" spans="22:22">
      <c r="V4119" s="16"/>
    </row>
    <row r="4120" spans="22:22">
      <c r="V4120" s="16"/>
    </row>
    <row r="4121" spans="22:22">
      <c r="V4121" s="16"/>
    </row>
    <row r="4122" spans="22:22">
      <c r="V4122" s="16"/>
    </row>
    <row r="4123" spans="22:22">
      <c r="V4123" s="16"/>
    </row>
    <row r="4124" spans="22:22">
      <c r="V4124" s="16"/>
    </row>
    <row r="4125" spans="22:22">
      <c r="V4125" s="16"/>
    </row>
    <row r="4126" spans="22:22">
      <c r="V4126" s="16"/>
    </row>
    <row r="4127" spans="22:22">
      <c r="V4127" s="16"/>
    </row>
    <row r="4128" spans="22:22">
      <c r="V4128" s="16"/>
    </row>
    <row r="4129" spans="22:22">
      <c r="V4129" s="16"/>
    </row>
    <row r="4130" spans="22:22">
      <c r="V4130" s="16"/>
    </row>
    <row r="4131" spans="22:22">
      <c r="V4131" s="16"/>
    </row>
    <row r="4132" spans="22:22">
      <c r="V4132" s="16"/>
    </row>
    <row r="4133" spans="22:22">
      <c r="V4133" s="16"/>
    </row>
    <row r="4134" spans="22:22">
      <c r="V4134" s="16"/>
    </row>
    <row r="4135" spans="22:22">
      <c r="V4135" s="16"/>
    </row>
    <row r="4136" spans="22:22">
      <c r="V4136" s="16"/>
    </row>
    <row r="4137" spans="22:22">
      <c r="V4137" s="16"/>
    </row>
    <row r="4138" spans="22:22">
      <c r="V4138" s="16"/>
    </row>
    <row r="4139" spans="22:22">
      <c r="V4139" s="16"/>
    </row>
    <row r="4140" spans="22:22">
      <c r="V4140" s="16"/>
    </row>
    <row r="4141" spans="22:22">
      <c r="V4141" s="16"/>
    </row>
    <row r="4142" spans="22:22">
      <c r="V4142" s="16"/>
    </row>
    <row r="4143" spans="22:22">
      <c r="V4143" s="16"/>
    </row>
    <row r="4144" spans="22:22">
      <c r="V4144" s="16"/>
    </row>
    <row r="4145" spans="22:22">
      <c r="V4145" s="16"/>
    </row>
    <row r="4146" spans="22:22">
      <c r="V4146" s="16"/>
    </row>
    <row r="4147" spans="22:22">
      <c r="V4147" s="16"/>
    </row>
    <row r="4148" spans="22:22">
      <c r="V4148" s="16"/>
    </row>
    <row r="4149" spans="22:22">
      <c r="V4149" s="16"/>
    </row>
    <row r="4150" spans="22:22">
      <c r="V4150" s="16"/>
    </row>
    <row r="4151" spans="22:22">
      <c r="V4151" s="16"/>
    </row>
    <row r="4152" spans="22:22">
      <c r="V4152" s="16"/>
    </row>
    <row r="4153" spans="22:22">
      <c r="V4153" s="16"/>
    </row>
    <row r="4154" spans="22:22">
      <c r="V4154" s="16"/>
    </row>
    <row r="4155" spans="22:22">
      <c r="V4155" s="16"/>
    </row>
    <row r="4156" spans="22:22">
      <c r="V4156" s="16"/>
    </row>
    <row r="4157" spans="22:22">
      <c r="V4157" s="16"/>
    </row>
    <row r="4158" spans="22:22">
      <c r="V4158" s="16"/>
    </row>
    <row r="4159" spans="22:22">
      <c r="V4159" s="16"/>
    </row>
    <row r="4160" spans="22:22">
      <c r="V4160" s="16"/>
    </row>
    <row r="4161" spans="22:22">
      <c r="V4161" s="16"/>
    </row>
    <row r="4162" spans="22:22">
      <c r="V4162" s="16"/>
    </row>
    <row r="4163" spans="22:22">
      <c r="V4163" s="16"/>
    </row>
    <row r="4164" spans="22:22">
      <c r="V4164" s="16"/>
    </row>
    <row r="4165" spans="22:22">
      <c r="V4165" s="16"/>
    </row>
    <row r="4166" spans="22:22">
      <c r="V4166" s="16"/>
    </row>
    <row r="4167" spans="22:22">
      <c r="V4167" s="16"/>
    </row>
    <row r="4168" spans="22:22">
      <c r="V4168" s="16"/>
    </row>
    <row r="4169" spans="22:22">
      <c r="V4169" s="16"/>
    </row>
    <row r="4170" spans="22:22">
      <c r="V4170" s="16"/>
    </row>
    <row r="4171" spans="22:22">
      <c r="V4171" s="16"/>
    </row>
    <row r="4172" spans="22:22">
      <c r="V4172" s="16"/>
    </row>
    <row r="4173" spans="22:22">
      <c r="V4173" s="16"/>
    </row>
    <row r="4174" spans="22:22">
      <c r="V4174" s="16"/>
    </row>
    <row r="4175" spans="22:22">
      <c r="V4175" s="16"/>
    </row>
    <row r="4176" spans="22:22">
      <c r="V4176" s="16"/>
    </row>
    <row r="4177" spans="22:22">
      <c r="V4177" s="16"/>
    </row>
    <row r="4178" spans="22:22">
      <c r="V4178" s="16"/>
    </row>
    <row r="4179" spans="22:22">
      <c r="V4179" s="16"/>
    </row>
    <row r="4180" spans="22:22">
      <c r="V4180" s="16"/>
    </row>
    <row r="4181" spans="22:22">
      <c r="V4181" s="16"/>
    </row>
    <row r="4182" spans="22:22">
      <c r="V4182" s="16"/>
    </row>
    <row r="4183" spans="22:22">
      <c r="V4183" s="16"/>
    </row>
    <row r="4184" spans="22:22">
      <c r="V4184" s="16"/>
    </row>
    <row r="4185" spans="22:22">
      <c r="V4185" s="16"/>
    </row>
    <row r="4186" spans="22:22">
      <c r="V4186" s="16"/>
    </row>
    <row r="4187" spans="22:22">
      <c r="V4187" s="16"/>
    </row>
    <row r="4188" spans="22:22">
      <c r="V4188" s="16"/>
    </row>
    <row r="4189" spans="22:22">
      <c r="V4189" s="16"/>
    </row>
    <row r="4190" spans="22:22">
      <c r="V4190" s="16"/>
    </row>
    <row r="4191" spans="22:22">
      <c r="V4191" s="16"/>
    </row>
    <row r="4192" spans="22:22">
      <c r="V4192" s="16"/>
    </row>
    <row r="4193" spans="22:22">
      <c r="V4193" s="16"/>
    </row>
    <row r="4194" spans="22:22">
      <c r="V4194" s="16"/>
    </row>
    <row r="4195" spans="22:22">
      <c r="V4195" s="16"/>
    </row>
    <row r="4196" spans="22:22">
      <c r="V4196" s="16"/>
    </row>
    <row r="4197" spans="22:22">
      <c r="V4197" s="16"/>
    </row>
    <row r="4198" spans="22:22">
      <c r="V4198" s="16"/>
    </row>
    <row r="4199" spans="22:22">
      <c r="V4199" s="16"/>
    </row>
    <row r="4200" spans="22:22">
      <c r="V4200" s="16"/>
    </row>
    <row r="4201" spans="22:22">
      <c r="V4201" s="16"/>
    </row>
    <row r="4202" spans="22:22">
      <c r="V4202" s="16"/>
    </row>
    <row r="4203" spans="22:22">
      <c r="V4203" s="16"/>
    </row>
    <row r="4204" spans="22:22">
      <c r="V4204" s="16"/>
    </row>
    <row r="4205" spans="22:22">
      <c r="V4205" s="16"/>
    </row>
    <row r="4206" spans="22:22">
      <c r="V4206" s="16"/>
    </row>
    <row r="4207" spans="22:22">
      <c r="V4207" s="16"/>
    </row>
    <row r="4208" spans="22:22">
      <c r="V4208" s="16"/>
    </row>
    <row r="4209" spans="22:22">
      <c r="V4209" s="16"/>
    </row>
    <row r="4210" spans="22:22">
      <c r="V4210" s="16"/>
    </row>
    <row r="4211" spans="22:22">
      <c r="V4211" s="16"/>
    </row>
    <row r="4212" spans="22:22">
      <c r="V4212" s="16"/>
    </row>
    <row r="4213" spans="22:22">
      <c r="V4213" s="16"/>
    </row>
    <row r="4214" spans="22:22">
      <c r="V4214" s="16"/>
    </row>
    <row r="4215" spans="22:22">
      <c r="V4215" s="16"/>
    </row>
    <row r="4216" spans="22:22">
      <c r="V4216" s="16"/>
    </row>
    <row r="4217" spans="22:22">
      <c r="V4217" s="16"/>
    </row>
    <row r="4218" spans="22:22">
      <c r="V4218" s="16"/>
    </row>
    <row r="4219" spans="22:22">
      <c r="V4219" s="16"/>
    </row>
    <row r="4220" spans="22:22">
      <c r="V4220" s="16"/>
    </row>
    <row r="4221" spans="22:22">
      <c r="V4221" s="16"/>
    </row>
    <row r="4222" spans="22:22">
      <c r="V4222" s="16"/>
    </row>
    <row r="4223" spans="22:22">
      <c r="V4223" s="16"/>
    </row>
    <row r="4224" spans="22:22">
      <c r="V4224" s="16"/>
    </row>
    <row r="4225" spans="22:22">
      <c r="V4225" s="16"/>
    </row>
    <row r="4226" spans="22:22">
      <c r="V4226" s="16"/>
    </row>
    <row r="4227" spans="22:22">
      <c r="V4227" s="16"/>
    </row>
    <row r="4228" spans="22:22">
      <c r="V4228" s="16"/>
    </row>
    <row r="4229" spans="22:22">
      <c r="V4229" s="16"/>
    </row>
    <row r="4230" spans="22:22">
      <c r="V4230" s="16"/>
    </row>
    <row r="4231" spans="22:22">
      <c r="V4231" s="16"/>
    </row>
    <row r="4232" spans="22:22">
      <c r="V4232" s="16"/>
    </row>
    <row r="4233" spans="22:22">
      <c r="V4233" s="16"/>
    </row>
    <row r="4234" spans="22:22">
      <c r="V4234" s="16"/>
    </row>
    <row r="4235" spans="22:22">
      <c r="V4235" s="16"/>
    </row>
    <row r="4236" spans="22:22">
      <c r="V4236" s="16"/>
    </row>
    <row r="4237" spans="22:22">
      <c r="V4237" s="16"/>
    </row>
    <row r="4238" spans="22:22">
      <c r="V4238" s="16"/>
    </row>
    <row r="4239" spans="22:22">
      <c r="V4239" s="16"/>
    </row>
    <row r="4240" spans="22:22">
      <c r="V4240" s="16"/>
    </row>
    <row r="4241" spans="22:22">
      <c r="V4241" s="16"/>
    </row>
    <row r="4242" spans="22:22">
      <c r="V4242" s="16"/>
    </row>
    <row r="4243" spans="22:22">
      <c r="V4243" s="16"/>
    </row>
    <row r="4244" spans="22:22">
      <c r="V4244" s="16"/>
    </row>
    <row r="4245" spans="22:22">
      <c r="V4245" s="16"/>
    </row>
    <row r="4246" spans="22:22">
      <c r="V4246" s="16"/>
    </row>
    <row r="4247" spans="22:22">
      <c r="V4247" s="16"/>
    </row>
    <row r="4248" spans="22:22">
      <c r="V4248" s="16"/>
    </row>
    <row r="4249" spans="22:22">
      <c r="V4249" s="16"/>
    </row>
    <row r="4250" spans="22:22">
      <c r="V4250" s="16"/>
    </row>
    <row r="4251" spans="22:22">
      <c r="V4251" s="16"/>
    </row>
    <row r="4252" spans="22:22">
      <c r="V4252" s="16"/>
    </row>
    <row r="4253" spans="22:22">
      <c r="V4253" s="16"/>
    </row>
    <row r="4254" spans="22:22">
      <c r="V4254" s="16"/>
    </row>
    <row r="4255" spans="22:22">
      <c r="V4255" s="16"/>
    </row>
    <row r="4256" spans="22:22">
      <c r="V4256" s="16"/>
    </row>
    <row r="4257" spans="22:22">
      <c r="V4257" s="16"/>
    </row>
    <row r="4258" spans="22:22">
      <c r="V4258" s="16"/>
    </row>
    <row r="4259" spans="22:22">
      <c r="V4259" s="16"/>
    </row>
    <row r="4260" spans="22:22">
      <c r="V4260" s="16"/>
    </row>
    <row r="4261" spans="22:22">
      <c r="V4261" s="16"/>
    </row>
    <row r="4262" spans="22:22">
      <c r="V4262" s="16"/>
    </row>
    <row r="4263" spans="22:22">
      <c r="V4263" s="16"/>
    </row>
    <row r="4264" spans="22:22">
      <c r="V4264" s="16"/>
    </row>
    <row r="4265" spans="22:22">
      <c r="V4265" s="16"/>
    </row>
    <row r="4266" spans="22:22">
      <c r="V4266" s="16"/>
    </row>
    <row r="4267" spans="22:22">
      <c r="V4267" s="16"/>
    </row>
    <row r="4268" spans="22:22">
      <c r="V4268" s="16"/>
    </row>
    <row r="4269" spans="22:22">
      <c r="V4269" s="16"/>
    </row>
    <row r="4270" spans="22:22">
      <c r="V4270" s="16"/>
    </row>
    <row r="4271" spans="22:22">
      <c r="V4271" s="16"/>
    </row>
    <row r="4272" spans="22:22">
      <c r="V4272" s="16"/>
    </row>
    <row r="4273" spans="22:22">
      <c r="V4273" s="16"/>
    </row>
    <row r="4274" spans="22:22">
      <c r="V4274" s="16"/>
    </row>
    <row r="4275" spans="22:22">
      <c r="V4275" s="16"/>
    </row>
    <row r="4276" spans="22:22">
      <c r="V4276" s="16"/>
    </row>
    <row r="4277" spans="22:22">
      <c r="V4277" s="16"/>
    </row>
    <row r="4278" spans="22:22">
      <c r="V4278" s="16"/>
    </row>
    <row r="4279" spans="22:22">
      <c r="V4279" s="16"/>
    </row>
    <row r="4280" spans="22:22">
      <c r="V4280" s="16"/>
    </row>
    <row r="4281" spans="22:22">
      <c r="V4281" s="16"/>
    </row>
    <row r="4282" spans="22:22">
      <c r="V4282" s="16"/>
    </row>
    <row r="4283" spans="22:22">
      <c r="V4283" s="16"/>
    </row>
    <row r="4284" spans="22:22">
      <c r="V4284" s="16"/>
    </row>
    <row r="4285" spans="22:22">
      <c r="V4285" s="16"/>
    </row>
    <row r="4286" spans="22:22">
      <c r="V4286" s="16"/>
    </row>
    <row r="4287" spans="22:22">
      <c r="V4287" s="16"/>
    </row>
    <row r="4288" spans="22:22">
      <c r="V4288" s="16"/>
    </row>
    <row r="4289" spans="22:22">
      <c r="V4289" s="16"/>
    </row>
    <row r="4290" spans="22:22">
      <c r="V4290" s="16"/>
    </row>
    <row r="4291" spans="22:22">
      <c r="V4291" s="16"/>
    </row>
    <row r="4292" spans="22:22">
      <c r="V4292" s="16"/>
    </row>
    <row r="4293" spans="22:22">
      <c r="V4293" s="16"/>
    </row>
    <row r="4294" spans="22:22">
      <c r="V4294" s="16"/>
    </row>
    <row r="4295" spans="22:22">
      <c r="V4295" s="16"/>
    </row>
    <row r="4296" spans="22:22">
      <c r="V4296" s="16"/>
    </row>
    <row r="4297" spans="22:22">
      <c r="V4297" s="16"/>
    </row>
    <row r="4298" spans="22:22">
      <c r="V4298" s="16"/>
    </row>
    <row r="4299" spans="22:22">
      <c r="V4299" s="16"/>
    </row>
    <row r="4300" spans="22:22">
      <c r="V4300" s="16"/>
    </row>
    <row r="4301" spans="22:22">
      <c r="V4301" s="16"/>
    </row>
    <row r="4302" spans="22:22">
      <c r="V4302" s="16"/>
    </row>
    <row r="4303" spans="22:22">
      <c r="V4303" s="16"/>
    </row>
    <row r="4304" spans="22:22">
      <c r="V4304" s="16"/>
    </row>
    <row r="4305" spans="22:22">
      <c r="V4305" s="16"/>
    </row>
    <row r="4306" spans="22:22">
      <c r="V4306" s="16"/>
    </row>
    <row r="4307" spans="22:22">
      <c r="V4307" s="16"/>
    </row>
    <row r="4308" spans="22:22">
      <c r="V4308" s="16"/>
    </row>
    <row r="4309" spans="22:22">
      <c r="V4309" s="16"/>
    </row>
    <row r="4310" spans="22:22">
      <c r="V4310" s="16"/>
    </row>
    <row r="4311" spans="22:22">
      <c r="V4311" s="16"/>
    </row>
    <row r="4312" spans="22:22">
      <c r="V4312" s="16"/>
    </row>
    <row r="4313" spans="22:22">
      <c r="V4313" s="16"/>
    </row>
    <row r="4314" spans="22:22">
      <c r="V4314" s="16"/>
    </row>
    <row r="4315" spans="22:22">
      <c r="V4315" s="16"/>
    </row>
    <row r="4316" spans="22:22">
      <c r="V4316" s="16"/>
    </row>
    <row r="4317" spans="22:22">
      <c r="V4317" s="16"/>
    </row>
    <row r="4318" spans="22:22">
      <c r="V4318" s="16"/>
    </row>
    <row r="4319" spans="22:22">
      <c r="V4319" s="16"/>
    </row>
    <row r="4320" spans="22:22">
      <c r="V4320" s="16"/>
    </row>
    <row r="4321" spans="22:22">
      <c r="V4321" s="16"/>
    </row>
    <row r="4322" spans="22:22">
      <c r="V4322" s="16"/>
    </row>
    <row r="4323" spans="22:22">
      <c r="V4323" s="16"/>
    </row>
    <row r="4324" spans="22:22">
      <c r="V4324" s="16"/>
    </row>
    <row r="4325" spans="22:22">
      <c r="V4325" s="16"/>
    </row>
    <row r="4326" spans="22:22">
      <c r="V4326" s="16"/>
    </row>
    <row r="4327" spans="22:22">
      <c r="V4327" s="16"/>
    </row>
    <row r="4328" spans="22:22">
      <c r="V4328" s="16"/>
    </row>
    <row r="4329" spans="22:22">
      <c r="V4329" s="16"/>
    </row>
    <row r="4330" spans="22:22">
      <c r="V4330" s="16"/>
    </row>
    <row r="4331" spans="22:22">
      <c r="V4331" s="16"/>
    </row>
    <row r="4332" spans="22:22">
      <c r="V4332" s="16"/>
    </row>
    <row r="4333" spans="22:22">
      <c r="V4333" s="16"/>
    </row>
    <row r="4334" spans="22:22">
      <c r="V4334" s="16"/>
    </row>
    <row r="4335" spans="22:22">
      <c r="V4335" s="16"/>
    </row>
    <row r="4336" spans="22:22">
      <c r="V4336" s="16"/>
    </row>
    <row r="4337" spans="22:22">
      <c r="V4337" s="16"/>
    </row>
    <row r="4338" spans="22:22">
      <c r="V4338" s="16"/>
    </row>
    <row r="4339" spans="22:22">
      <c r="V4339" s="16"/>
    </row>
    <row r="4340" spans="22:22">
      <c r="V4340" s="16"/>
    </row>
    <row r="4341" spans="22:22">
      <c r="V4341" s="16"/>
    </row>
    <row r="4342" spans="22:22">
      <c r="V4342" s="16"/>
    </row>
    <row r="4343" spans="22:22">
      <c r="V4343" s="16"/>
    </row>
    <row r="4344" spans="22:22">
      <c r="V4344" s="16"/>
    </row>
    <row r="4345" spans="22:22">
      <c r="V4345" s="16"/>
    </row>
    <row r="4346" spans="22:22">
      <c r="V4346" s="16"/>
    </row>
    <row r="4347" spans="22:22">
      <c r="V4347" s="16"/>
    </row>
    <row r="4348" spans="22:22">
      <c r="V4348" s="16"/>
    </row>
    <row r="4349" spans="22:22">
      <c r="V4349" s="16"/>
    </row>
    <row r="4350" spans="22:22">
      <c r="V4350" s="16"/>
    </row>
    <row r="4351" spans="22:22">
      <c r="V4351" s="16"/>
    </row>
    <row r="4352" spans="22:22">
      <c r="V4352" s="16"/>
    </row>
    <row r="4353" spans="22:22">
      <c r="V4353" s="16"/>
    </row>
    <row r="4354" spans="22:22">
      <c r="V4354" s="16"/>
    </row>
    <row r="4355" spans="22:22">
      <c r="V4355" s="16"/>
    </row>
    <row r="4356" spans="22:22">
      <c r="V4356" s="16"/>
    </row>
    <row r="4357" spans="22:22">
      <c r="V4357" s="16"/>
    </row>
    <row r="4358" spans="22:22">
      <c r="V4358" s="16"/>
    </row>
    <row r="4359" spans="22:22">
      <c r="V4359" s="16"/>
    </row>
    <row r="4360" spans="22:22">
      <c r="V4360" s="16"/>
    </row>
    <row r="4361" spans="22:22">
      <c r="V4361" s="16"/>
    </row>
    <row r="4362" spans="22:22">
      <c r="V4362" s="16"/>
    </row>
    <row r="4363" spans="22:22">
      <c r="V4363" s="16"/>
    </row>
    <row r="4364" spans="22:22">
      <c r="V4364" s="16"/>
    </row>
    <row r="4365" spans="22:22">
      <c r="V4365" s="16"/>
    </row>
    <row r="4366" spans="22:22">
      <c r="V4366" s="16"/>
    </row>
    <row r="4367" spans="22:22">
      <c r="V4367" s="16"/>
    </row>
    <row r="4368" spans="22:22">
      <c r="V4368" s="16"/>
    </row>
    <row r="4369" spans="22:22">
      <c r="V4369" s="16"/>
    </row>
    <row r="4370" spans="22:22">
      <c r="V4370" s="16"/>
    </row>
    <row r="4371" spans="22:22">
      <c r="V4371" s="16"/>
    </row>
    <row r="4372" spans="22:22">
      <c r="V4372" s="16"/>
    </row>
    <row r="4373" spans="22:22">
      <c r="V4373" s="16"/>
    </row>
    <row r="4374" spans="22:22">
      <c r="V4374" s="16"/>
    </row>
    <row r="4375" spans="22:22">
      <c r="V4375" s="16"/>
    </row>
    <row r="4376" spans="22:22">
      <c r="V4376" s="16"/>
    </row>
    <row r="4377" spans="22:22">
      <c r="V4377" s="16"/>
    </row>
    <row r="4378" spans="22:22">
      <c r="V4378" s="16"/>
    </row>
    <row r="4379" spans="22:22">
      <c r="V4379" s="16"/>
    </row>
    <row r="4380" spans="22:22">
      <c r="V4380" s="16"/>
    </row>
    <row r="4381" spans="22:22">
      <c r="V4381" s="16"/>
    </row>
    <row r="4382" spans="22:22">
      <c r="V4382" s="16"/>
    </row>
    <row r="4383" spans="22:22">
      <c r="V4383" s="16"/>
    </row>
    <row r="4384" spans="22:22">
      <c r="V4384" s="16"/>
    </row>
    <row r="4385" spans="22:22">
      <c r="V4385" s="16"/>
    </row>
    <row r="4386" spans="22:22">
      <c r="V4386" s="16"/>
    </row>
    <row r="4387" spans="22:22">
      <c r="V4387" s="16"/>
    </row>
    <row r="4388" spans="22:22">
      <c r="V4388" s="16"/>
    </row>
    <row r="4389" spans="22:22">
      <c r="V4389" s="16"/>
    </row>
    <row r="4390" spans="22:22">
      <c r="V4390" s="16"/>
    </row>
    <row r="4391" spans="22:22">
      <c r="V4391" s="16"/>
    </row>
    <row r="4392" spans="22:22">
      <c r="V4392" s="16"/>
    </row>
    <row r="4393" spans="22:22">
      <c r="V4393" s="16"/>
    </row>
    <row r="4394" spans="22:22">
      <c r="V4394" s="16"/>
    </row>
    <row r="4395" spans="22:22">
      <c r="V4395" s="16"/>
    </row>
    <row r="4396" spans="22:22">
      <c r="V4396" s="16"/>
    </row>
    <row r="4397" spans="22:22">
      <c r="V4397" s="16"/>
    </row>
    <row r="4398" spans="22:22">
      <c r="V4398" s="16"/>
    </row>
    <row r="4399" spans="22:22">
      <c r="V4399" s="16"/>
    </row>
    <row r="4400" spans="22:22">
      <c r="V4400" s="16"/>
    </row>
    <row r="4401" spans="22:22">
      <c r="V4401" s="16"/>
    </row>
    <row r="4402" spans="22:22">
      <c r="V4402" s="16"/>
    </row>
    <row r="4403" spans="22:22">
      <c r="V4403" s="16"/>
    </row>
    <row r="4404" spans="22:22">
      <c r="V4404" s="16"/>
    </row>
    <row r="4405" spans="22:22">
      <c r="V4405" s="16"/>
    </row>
    <row r="4406" spans="22:22">
      <c r="V4406" s="16"/>
    </row>
    <row r="4407" spans="22:22">
      <c r="V4407" s="16"/>
    </row>
    <row r="4408" spans="22:22">
      <c r="V4408" s="16"/>
    </row>
    <row r="4409" spans="22:22">
      <c r="V4409" s="16"/>
    </row>
    <row r="4410" spans="22:22">
      <c r="V4410" s="16"/>
    </row>
    <row r="4411" spans="22:22">
      <c r="V4411" s="16"/>
    </row>
    <row r="4412" spans="22:22">
      <c r="V4412" s="16"/>
    </row>
    <row r="4413" spans="22:22">
      <c r="V4413" s="16"/>
    </row>
    <row r="4414" spans="22:22">
      <c r="V4414" s="16"/>
    </row>
    <row r="4415" spans="22:22">
      <c r="V4415" s="16"/>
    </row>
    <row r="4416" spans="22:22">
      <c r="V4416" s="16"/>
    </row>
    <row r="4417" spans="22:22">
      <c r="V4417" s="16"/>
    </row>
    <row r="4418" spans="22:22">
      <c r="V4418" s="16"/>
    </row>
    <row r="4419" spans="22:22">
      <c r="V4419" s="16"/>
    </row>
    <row r="4420" spans="22:22">
      <c r="V4420" s="16"/>
    </row>
    <row r="4421" spans="22:22">
      <c r="V4421" s="16"/>
    </row>
    <row r="4422" spans="22:22">
      <c r="V4422" s="16"/>
    </row>
    <row r="4423" spans="22:22">
      <c r="V4423" s="16"/>
    </row>
    <row r="4424" spans="22:22">
      <c r="V4424" s="16"/>
    </row>
    <row r="4425" spans="22:22">
      <c r="V4425" s="16"/>
    </row>
    <row r="4426" spans="22:22">
      <c r="V4426" s="16"/>
    </row>
    <row r="4427" spans="22:22">
      <c r="V4427" s="16"/>
    </row>
    <row r="4428" spans="22:22">
      <c r="V4428" s="16"/>
    </row>
    <row r="4429" spans="22:22">
      <c r="V4429" s="16"/>
    </row>
    <row r="4430" spans="22:22">
      <c r="V4430" s="16"/>
    </row>
    <row r="4431" spans="22:22">
      <c r="V4431" s="16"/>
    </row>
    <row r="4432" spans="22:22">
      <c r="V4432" s="16"/>
    </row>
    <row r="4433" spans="22:22">
      <c r="V4433" s="16"/>
    </row>
    <row r="4434" spans="22:22">
      <c r="V4434" s="16"/>
    </row>
    <row r="4435" spans="22:22">
      <c r="V4435" s="16"/>
    </row>
    <row r="4436" spans="22:22">
      <c r="V4436" s="16"/>
    </row>
    <row r="4437" spans="22:22">
      <c r="V4437" s="16"/>
    </row>
    <row r="4438" spans="22:22">
      <c r="V4438" s="16"/>
    </row>
    <row r="4439" spans="22:22">
      <c r="V4439" s="16"/>
    </row>
    <row r="4440" spans="22:22">
      <c r="V4440" s="16"/>
    </row>
    <row r="4441" spans="22:22">
      <c r="V4441" s="16"/>
    </row>
    <row r="4442" spans="22:22">
      <c r="V4442" s="16"/>
    </row>
    <row r="4443" spans="22:22">
      <c r="V4443" s="16"/>
    </row>
    <row r="4444" spans="22:22">
      <c r="V4444" s="16"/>
    </row>
    <row r="4445" spans="22:22">
      <c r="V4445" s="16"/>
    </row>
    <row r="4446" spans="22:22">
      <c r="V4446" s="16"/>
    </row>
    <row r="4447" spans="22:22">
      <c r="V4447" s="16"/>
    </row>
    <row r="4448" spans="22:22">
      <c r="V4448" s="16"/>
    </row>
    <row r="4449" spans="22:22">
      <c r="V4449" s="16"/>
    </row>
    <row r="4450" spans="22:22">
      <c r="V4450" s="16"/>
    </row>
    <row r="4451" spans="22:22">
      <c r="V4451" s="16"/>
    </row>
    <row r="4452" spans="22:22">
      <c r="V4452" s="16"/>
    </row>
    <row r="4453" spans="22:22">
      <c r="V4453" s="16"/>
    </row>
    <row r="4454" spans="22:22">
      <c r="V4454" s="16"/>
    </row>
    <row r="4455" spans="22:22">
      <c r="V4455" s="16"/>
    </row>
    <row r="4456" spans="22:22">
      <c r="V4456" s="16"/>
    </row>
    <row r="4457" spans="22:22">
      <c r="V4457" s="16"/>
    </row>
    <row r="4458" spans="22:22">
      <c r="V4458" s="16"/>
    </row>
    <row r="4459" spans="22:22">
      <c r="V4459" s="16"/>
    </row>
    <row r="4460" spans="22:22">
      <c r="V4460" s="16"/>
    </row>
    <row r="4461" spans="22:22">
      <c r="V4461" s="16"/>
    </row>
    <row r="4462" spans="22:22">
      <c r="V4462" s="16"/>
    </row>
    <row r="4463" spans="22:22">
      <c r="V4463" s="16"/>
    </row>
    <row r="4464" spans="22:22">
      <c r="V4464" s="16"/>
    </row>
    <row r="4465" spans="22:22">
      <c r="V4465" s="16"/>
    </row>
    <row r="4466" spans="22:22">
      <c r="V4466" s="16"/>
    </row>
    <row r="4467" spans="22:22">
      <c r="V4467" s="16"/>
    </row>
    <row r="4468" spans="22:22">
      <c r="V4468" s="16"/>
    </row>
    <row r="4469" spans="22:22">
      <c r="V4469" s="16"/>
    </row>
    <row r="4470" spans="22:22">
      <c r="V4470" s="16"/>
    </row>
    <row r="4471" spans="22:22">
      <c r="V4471" s="16"/>
    </row>
    <row r="4472" spans="22:22">
      <c r="V4472" s="16"/>
    </row>
    <row r="4473" spans="22:22">
      <c r="V4473" s="16"/>
    </row>
    <row r="4474" spans="22:22">
      <c r="V4474" s="16"/>
    </row>
    <row r="4475" spans="22:22">
      <c r="V4475" s="16"/>
    </row>
    <row r="4476" spans="22:22">
      <c r="V4476" s="16"/>
    </row>
    <row r="4477" spans="22:22">
      <c r="V4477" s="16"/>
    </row>
    <row r="4478" spans="22:22">
      <c r="V4478" s="16"/>
    </row>
    <row r="4479" spans="22:22">
      <c r="V4479" s="16"/>
    </row>
    <row r="4480" spans="22:22">
      <c r="V4480" s="16"/>
    </row>
    <row r="4481" spans="22:22">
      <c r="V4481" s="16"/>
    </row>
    <row r="4482" spans="22:22">
      <c r="V4482" s="16"/>
    </row>
    <row r="4483" spans="22:22">
      <c r="V4483" s="16"/>
    </row>
    <row r="4484" spans="22:22">
      <c r="V4484" s="16"/>
    </row>
    <row r="4485" spans="22:22">
      <c r="V4485" s="16"/>
    </row>
    <row r="4486" spans="22:22">
      <c r="V4486" s="16"/>
    </row>
    <row r="4487" spans="22:22">
      <c r="V4487" s="16"/>
    </row>
    <row r="4488" spans="22:22">
      <c r="V4488" s="16"/>
    </row>
    <row r="4489" spans="22:22">
      <c r="V4489" s="16"/>
    </row>
    <row r="4490" spans="22:22">
      <c r="V4490" s="16"/>
    </row>
    <row r="4491" spans="22:22">
      <c r="V4491" s="16"/>
    </row>
    <row r="4492" spans="22:22">
      <c r="V4492" s="16"/>
    </row>
    <row r="4493" spans="22:22">
      <c r="V4493" s="16"/>
    </row>
    <row r="4494" spans="22:22">
      <c r="V4494" s="16"/>
    </row>
    <row r="4495" spans="22:22">
      <c r="V4495" s="16"/>
    </row>
    <row r="4496" spans="22:22">
      <c r="V4496" s="16"/>
    </row>
    <row r="4497" spans="22:22">
      <c r="V4497" s="16"/>
    </row>
    <row r="4498" spans="22:22">
      <c r="V4498" s="16"/>
    </row>
    <row r="4499" spans="22:22">
      <c r="V4499" s="16"/>
    </row>
    <row r="4500" spans="22:22">
      <c r="V4500" s="16"/>
    </row>
    <row r="4501" spans="22:22">
      <c r="V4501" s="16"/>
    </row>
    <row r="4502" spans="22:22">
      <c r="V4502" s="16"/>
    </row>
    <row r="4503" spans="22:22">
      <c r="V4503" s="16"/>
    </row>
    <row r="4504" spans="22:22">
      <c r="V4504" s="16"/>
    </row>
    <row r="4505" spans="22:22">
      <c r="V4505" s="16"/>
    </row>
    <row r="4506" spans="22:22">
      <c r="V4506" s="16"/>
    </row>
    <row r="4507" spans="22:22">
      <c r="V4507" s="16"/>
    </row>
    <row r="4508" spans="22:22">
      <c r="V4508" s="16"/>
    </row>
    <row r="4509" spans="22:22">
      <c r="V4509" s="16"/>
    </row>
    <row r="4510" spans="22:22">
      <c r="V4510" s="16"/>
    </row>
    <row r="4511" spans="22:22">
      <c r="V4511" s="16"/>
    </row>
    <row r="4512" spans="22:22">
      <c r="V4512" s="16"/>
    </row>
    <row r="4513" spans="22:22">
      <c r="V4513" s="16"/>
    </row>
    <row r="4514" spans="22:22">
      <c r="V4514" s="16"/>
    </row>
    <row r="4515" spans="22:22">
      <c r="V4515" s="16"/>
    </row>
    <row r="4516" spans="22:22">
      <c r="V4516" s="16"/>
    </row>
    <row r="4517" spans="22:22">
      <c r="V4517" s="16"/>
    </row>
    <row r="4518" spans="22:22">
      <c r="V4518" s="16"/>
    </row>
    <row r="4519" spans="22:22">
      <c r="V4519" s="16"/>
    </row>
    <row r="4520" spans="22:22">
      <c r="V4520" s="16"/>
    </row>
    <row r="4521" spans="22:22">
      <c r="V4521" s="16"/>
    </row>
    <row r="4522" spans="22:22">
      <c r="V4522" s="16"/>
    </row>
    <row r="4523" spans="22:22">
      <c r="V4523" s="16"/>
    </row>
    <row r="4524" spans="22:22">
      <c r="V4524" s="16"/>
    </row>
    <row r="4525" spans="22:22">
      <c r="V4525" s="16"/>
    </row>
    <row r="4526" spans="22:22">
      <c r="V4526" s="16"/>
    </row>
    <row r="4527" spans="22:22">
      <c r="V4527" s="16"/>
    </row>
    <row r="4528" spans="22:22">
      <c r="V4528" s="16"/>
    </row>
    <row r="4529" spans="22:22">
      <c r="V4529" s="16"/>
    </row>
    <row r="4530" spans="22:22">
      <c r="V4530" s="16"/>
    </row>
    <row r="4531" spans="22:22">
      <c r="V4531" s="16"/>
    </row>
    <row r="4532" spans="22:22">
      <c r="V4532" s="16"/>
    </row>
    <row r="4533" spans="22:22">
      <c r="V4533" s="16"/>
    </row>
    <row r="4534" spans="22:22">
      <c r="V4534" s="16"/>
    </row>
    <row r="4535" spans="22:22">
      <c r="V4535" s="16"/>
    </row>
    <row r="4536" spans="22:22">
      <c r="V4536" s="16"/>
    </row>
    <row r="4537" spans="22:22">
      <c r="V4537" s="16"/>
    </row>
    <row r="4538" spans="22:22">
      <c r="V4538" s="16"/>
    </row>
    <row r="4539" spans="22:22">
      <c r="V4539" s="16"/>
    </row>
    <row r="4540" spans="22:22">
      <c r="V4540" s="16"/>
    </row>
    <row r="4541" spans="22:22">
      <c r="V4541" s="16"/>
    </row>
    <row r="4542" spans="22:22">
      <c r="V4542" s="16"/>
    </row>
    <row r="4543" spans="22:22">
      <c r="V4543" s="16"/>
    </row>
    <row r="4544" spans="22:22">
      <c r="V4544" s="16"/>
    </row>
    <row r="4545" spans="22:22">
      <c r="V4545" s="16"/>
    </row>
    <row r="4546" spans="22:22">
      <c r="V4546" s="16"/>
    </row>
    <row r="4547" spans="22:22">
      <c r="V4547" s="16"/>
    </row>
    <row r="4548" spans="22:22">
      <c r="V4548" s="16"/>
    </row>
    <row r="4549" spans="22:22">
      <c r="V4549" s="16"/>
    </row>
    <row r="4550" spans="22:22">
      <c r="V4550" s="16"/>
    </row>
    <row r="4551" spans="22:22">
      <c r="V4551" s="16"/>
    </row>
    <row r="4552" spans="22:22">
      <c r="V4552" s="16"/>
    </row>
    <row r="4553" spans="22:22">
      <c r="V4553" s="16"/>
    </row>
    <row r="4554" spans="22:22">
      <c r="V4554" s="16"/>
    </row>
    <row r="4555" spans="22:22">
      <c r="V4555" s="16"/>
    </row>
    <row r="4556" spans="22:22">
      <c r="V4556" s="16"/>
    </row>
    <row r="4557" spans="22:22">
      <c r="V4557" s="16"/>
    </row>
    <row r="4558" spans="22:22">
      <c r="V4558" s="16"/>
    </row>
    <row r="4559" spans="22:22">
      <c r="V4559" s="16"/>
    </row>
    <row r="4560" spans="22:22">
      <c r="V4560" s="16"/>
    </row>
    <row r="4561" spans="22:22">
      <c r="V4561" s="16"/>
    </row>
    <row r="4562" spans="22:22">
      <c r="V4562" s="16"/>
    </row>
    <row r="4563" spans="22:22">
      <c r="V4563" s="16"/>
    </row>
    <row r="4564" spans="22:22">
      <c r="V4564" s="16"/>
    </row>
    <row r="4565" spans="22:22">
      <c r="V4565" s="16"/>
    </row>
    <row r="4566" spans="22:22">
      <c r="V4566" s="16"/>
    </row>
    <row r="4567" spans="22:22">
      <c r="V4567" s="16"/>
    </row>
    <row r="4568" spans="22:22">
      <c r="V4568" s="16"/>
    </row>
    <row r="4569" spans="22:22">
      <c r="V4569" s="16"/>
    </row>
    <row r="4570" spans="22:22">
      <c r="V4570" s="16"/>
    </row>
    <row r="4571" spans="22:22">
      <c r="V4571" s="16"/>
    </row>
    <row r="4572" spans="22:22">
      <c r="V4572" s="16"/>
    </row>
    <row r="4573" spans="22:22">
      <c r="V4573" s="16"/>
    </row>
    <row r="4574" spans="22:22">
      <c r="V4574" s="16"/>
    </row>
    <row r="4575" spans="22:22">
      <c r="V4575" s="16"/>
    </row>
    <row r="4576" spans="22:22">
      <c r="V4576" s="16"/>
    </row>
    <row r="4577" spans="22:22">
      <c r="V4577" s="16"/>
    </row>
    <row r="4578" spans="22:22">
      <c r="V4578" s="16"/>
    </row>
    <row r="4579" spans="22:22">
      <c r="V4579" s="16"/>
    </row>
    <row r="4580" spans="22:22">
      <c r="V4580" s="16"/>
    </row>
    <row r="4581" spans="22:22">
      <c r="V4581" s="16"/>
    </row>
    <row r="4582" spans="22:22">
      <c r="V4582" s="16"/>
    </row>
    <row r="4583" spans="22:22">
      <c r="V4583" s="16"/>
    </row>
    <row r="4584" spans="22:22">
      <c r="V4584" s="16"/>
    </row>
    <row r="4585" spans="22:22">
      <c r="V4585" s="16"/>
    </row>
    <row r="4586" spans="22:22">
      <c r="V4586" s="16"/>
    </row>
    <row r="4587" spans="22:22">
      <c r="V4587" s="16"/>
    </row>
    <row r="4588" spans="22:22">
      <c r="V4588" s="16"/>
    </row>
    <row r="4589" spans="22:22">
      <c r="V4589" s="16"/>
    </row>
    <row r="4590" spans="22:22">
      <c r="V4590" s="16"/>
    </row>
    <row r="4591" spans="22:22">
      <c r="V4591" s="16"/>
    </row>
    <row r="4592" spans="22:22">
      <c r="V4592" s="16"/>
    </row>
    <row r="4593" spans="22:22">
      <c r="V4593" s="16"/>
    </row>
    <row r="4594" spans="22:22">
      <c r="V4594" s="16"/>
    </row>
    <row r="4595" spans="22:22">
      <c r="V4595" s="16"/>
    </row>
    <row r="4596" spans="22:22">
      <c r="V4596" s="16"/>
    </row>
    <row r="4597" spans="22:22">
      <c r="V4597" s="16"/>
    </row>
    <row r="4598" spans="22:22">
      <c r="V4598" s="16"/>
    </row>
    <row r="4599" spans="22:22">
      <c r="V4599" s="16"/>
    </row>
    <row r="4600" spans="22:22">
      <c r="V4600" s="16"/>
    </row>
    <row r="4601" spans="22:22">
      <c r="V4601" s="16"/>
    </row>
    <row r="4602" spans="22:22">
      <c r="V4602" s="16"/>
    </row>
    <row r="4603" spans="22:22">
      <c r="V4603" s="16"/>
    </row>
    <row r="4604" spans="22:22">
      <c r="V4604" s="16"/>
    </row>
    <row r="4605" spans="22:22">
      <c r="V4605" s="16"/>
    </row>
    <row r="4606" spans="22:22">
      <c r="V4606" s="16"/>
    </row>
    <row r="4607" spans="22:22">
      <c r="V4607" s="16"/>
    </row>
    <row r="4608" spans="22:22">
      <c r="V4608" s="16"/>
    </row>
    <row r="4609" spans="22:22">
      <c r="V4609" s="16"/>
    </row>
    <row r="4610" spans="22:22">
      <c r="V4610" s="16"/>
    </row>
    <row r="4611" spans="22:22">
      <c r="V4611" s="16"/>
    </row>
    <row r="4612" spans="22:22">
      <c r="V4612" s="16"/>
    </row>
    <row r="4613" spans="22:22">
      <c r="V4613" s="16"/>
    </row>
    <row r="4614" spans="22:22">
      <c r="V4614" s="16"/>
    </row>
    <row r="4615" spans="22:22">
      <c r="V4615" s="16"/>
    </row>
    <row r="4616" spans="22:22">
      <c r="V4616" s="16"/>
    </row>
    <row r="4617" spans="22:22">
      <c r="V4617" s="16"/>
    </row>
    <row r="4618" spans="22:22">
      <c r="V4618" s="16"/>
    </row>
    <row r="4619" spans="22:22">
      <c r="V4619" s="16"/>
    </row>
    <row r="4620" spans="22:22">
      <c r="V4620" s="16"/>
    </row>
    <row r="4621" spans="22:22">
      <c r="V4621" s="16"/>
    </row>
    <row r="4622" spans="22:22">
      <c r="V4622" s="16"/>
    </row>
    <row r="4623" spans="22:22">
      <c r="V4623" s="16"/>
    </row>
    <row r="4624" spans="22:22">
      <c r="V4624" s="16"/>
    </row>
    <row r="4625" spans="22:22">
      <c r="V4625" s="16"/>
    </row>
    <row r="4626" spans="22:22">
      <c r="V4626" s="16"/>
    </row>
    <row r="4627" spans="22:22">
      <c r="V4627" s="16"/>
    </row>
    <row r="4628" spans="22:22">
      <c r="V4628" s="16"/>
    </row>
    <row r="4629" spans="22:22">
      <c r="V4629" s="16"/>
    </row>
    <row r="4630" spans="22:22">
      <c r="V4630" s="16"/>
    </row>
    <row r="4631" spans="22:22">
      <c r="V4631" s="16"/>
    </row>
    <row r="4632" spans="22:22">
      <c r="V4632" s="16"/>
    </row>
    <row r="4633" spans="22:22">
      <c r="V4633" s="16"/>
    </row>
    <row r="4634" spans="22:22">
      <c r="V4634" s="16"/>
    </row>
    <row r="4635" spans="22:22">
      <c r="V4635" s="16"/>
    </row>
    <row r="4636" spans="22:22">
      <c r="V4636" s="16"/>
    </row>
    <row r="4637" spans="22:22">
      <c r="V4637" s="16"/>
    </row>
    <row r="4638" spans="22:22">
      <c r="V4638" s="16"/>
    </row>
    <row r="4639" spans="22:22">
      <c r="V4639" s="16"/>
    </row>
    <row r="4640" spans="22:22">
      <c r="V4640" s="16"/>
    </row>
    <row r="4641" spans="22:22">
      <c r="V4641" s="16"/>
    </row>
    <row r="4642" spans="22:22">
      <c r="V4642" s="16"/>
    </row>
    <row r="4643" spans="22:22">
      <c r="V4643" s="16"/>
    </row>
    <row r="4644" spans="22:22">
      <c r="V4644" s="16"/>
    </row>
    <row r="4645" spans="22:22">
      <c r="V4645" s="16"/>
    </row>
    <row r="4646" spans="22:22">
      <c r="V4646" s="16"/>
    </row>
    <row r="4647" spans="22:22">
      <c r="V4647" s="16"/>
    </row>
    <row r="4648" spans="22:22">
      <c r="V4648" s="16"/>
    </row>
    <row r="4649" spans="22:22">
      <c r="V4649" s="16"/>
    </row>
    <row r="4650" spans="22:22">
      <c r="V4650" s="16"/>
    </row>
    <row r="4651" spans="22:22">
      <c r="V4651" s="16"/>
    </row>
    <row r="4652" spans="22:22">
      <c r="V4652" s="16"/>
    </row>
    <row r="4653" spans="22:22">
      <c r="V4653" s="16"/>
    </row>
    <row r="4654" spans="22:22">
      <c r="V4654" s="16"/>
    </row>
    <row r="4655" spans="22:22">
      <c r="V4655" s="16"/>
    </row>
    <row r="4656" spans="22:22">
      <c r="V4656" s="16"/>
    </row>
    <row r="4657" spans="22:22">
      <c r="V4657" s="16"/>
    </row>
    <row r="4658" spans="22:22">
      <c r="V4658" s="16"/>
    </row>
    <row r="4659" spans="22:22">
      <c r="V4659" s="16"/>
    </row>
    <row r="4660" spans="22:22">
      <c r="V4660" s="16"/>
    </row>
    <row r="4661" spans="22:22">
      <c r="V4661" s="16"/>
    </row>
    <row r="4662" spans="22:22">
      <c r="V4662" s="16"/>
    </row>
    <row r="4663" spans="22:22">
      <c r="V4663" s="16"/>
    </row>
    <row r="4664" spans="22:22">
      <c r="V4664" s="16"/>
    </row>
    <row r="4665" spans="22:22">
      <c r="V4665" s="16"/>
    </row>
    <row r="4666" spans="22:22">
      <c r="V4666" s="16"/>
    </row>
    <row r="4667" spans="22:22">
      <c r="V4667" s="16"/>
    </row>
    <row r="4668" spans="22:22">
      <c r="V4668" s="16"/>
    </row>
    <row r="4669" spans="22:22">
      <c r="V4669" s="16"/>
    </row>
    <row r="4670" spans="22:22">
      <c r="V4670" s="16"/>
    </row>
    <row r="4671" spans="22:22">
      <c r="V4671" s="16"/>
    </row>
    <row r="4672" spans="22:22">
      <c r="V4672" s="16"/>
    </row>
    <row r="4673" spans="22:22">
      <c r="V4673" s="16"/>
    </row>
    <row r="4674" spans="22:22">
      <c r="V4674" s="16"/>
    </row>
    <row r="4675" spans="22:22">
      <c r="V4675" s="16"/>
    </row>
    <row r="4676" spans="22:22">
      <c r="V4676" s="16"/>
    </row>
    <row r="4677" spans="22:22">
      <c r="V4677" s="16"/>
    </row>
    <row r="4678" spans="22:22">
      <c r="V4678" s="16"/>
    </row>
    <row r="4679" spans="22:22">
      <c r="V4679" s="16"/>
    </row>
    <row r="4680" spans="22:22">
      <c r="V4680" s="16"/>
    </row>
    <row r="4681" spans="22:22">
      <c r="V4681" s="16"/>
    </row>
    <row r="4682" spans="22:22">
      <c r="V4682" s="16"/>
    </row>
    <row r="4683" spans="22:22">
      <c r="V4683" s="16"/>
    </row>
    <row r="4684" spans="22:22">
      <c r="V4684" s="16"/>
    </row>
    <row r="4685" spans="22:22">
      <c r="V4685" s="16"/>
    </row>
    <row r="4686" spans="22:22">
      <c r="V4686" s="16"/>
    </row>
    <row r="4687" spans="22:22">
      <c r="V4687" s="16"/>
    </row>
    <row r="4688" spans="22:22">
      <c r="V4688" s="16"/>
    </row>
    <row r="4689" spans="22:22">
      <c r="V4689" s="16"/>
    </row>
    <row r="4690" spans="22:22">
      <c r="V4690" s="16"/>
    </row>
    <row r="4691" spans="22:22">
      <c r="V4691" s="16"/>
    </row>
    <row r="4692" spans="22:22">
      <c r="V4692" s="16"/>
    </row>
    <row r="4693" spans="22:22">
      <c r="V4693" s="16"/>
    </row>
    <row r="4694" spans="22:22">
      <c r="V4694" s="16"/>
    </row>
    <row r="4695" spans="22:22">
      <c r="V4695" s="16"/>
    </row>
    <row r="4696" spans="22:22">
      <c r="V4696" s="16"/>
    </row>
    <row r="4697" spans="22:22">
      <c r="V4697" s="16"/>
    </row>
    <row r="4698" spans="22:22">
      <c r="V4698" s="16"/>
    </row>
    <row r="4699" spans="22:22">
      <c r="V4699" s="16"/>
    </row>
    <row r="4700" spans="22:22">
      <c r="V4700" s="16"/>
    </row>
    <row r="4701" spans="22:22">
      <c r="V4701" s="16"/>
    </row>
    <row r="4702" spans="22:22">
      <c r="V4702" s="16"/>
    </row>
    <row r="4703" spans="22:22">
      <c r="V4703" s="16"/>
    </row>
    <row r="4704" spans="22:22">
      <c r="V4704" s="16"/>
    </row>
    <row r="4705" spans="22:22">
      <c r="V4705" s="16"/>
    </row>
    <row r="4706" spans="22:22">
      <c r="V4706" s="16"/>
    </row>
    <row r="4707" spans="22:22">
      <c r="V4707" s="16"/>
    </row>
    <row r="4708" spans="22:22">
      <c r="V4708" s="16"/>
    </row>
    <row r="4709" spans="22:22">
      <c r="V4709" s="16"/>
    </row>
    <row r="4710" spans="22:22">
      <c r="V4710" s="16"/>
    </row>
    <row r="4711" spans="22:22">
      <c r="V4711" s="16"/>
    </row>
    <row r="4712" spans="22:22">
      <c r="V4712" s="16"/>
    </row>
    <row r="4713" spans="22:22">
      <c r="V4713" s="16"/>
    </row>
    <row r="4714" spans="22:22">
      <c r="V4714" s="16"/>
    </row>
    <row r="4715" spans="22:22">
      <c r="V4715" s="16"/>
    </row>
    <row r="4716" spans="22:22">
      <c r="V4716" s="16"/>
    </row>
    <row r="4717" spans="22:22">
      <c r="V4717" s="16"/>
    </row>
    <row r="4718" spans="22:22">
      <c r="V4718" s="16"/>
    </row>
    <row r="4719" spans="22:22">
      <c r="V4719" s="16"/>
    </row>
    <row r="4720" spans="22:22">
      <c r="V4720" s="16"/>
    </row>
    <row r="4721" spans="22:22">
      <c r="V4721" s="16"/>
    </row>
    <row r="4722" spans="22:22">
      <c r="V4722" s="16"/>
    </row>
    <row r="4723" spans="22:22">
      <c r="V4723" s="16"/>
    </row>
    <row r="4724" spans="22:22">
      <c r="V4724" s="16"/>
    </row>
    <row r="4725" spans="22:22">
      <c r="V4725" s="16"/>
    </row>
    <row r="4726" spans="22:22">
      <c r="V4726" s="16"/>
    </row>
    <row r="4727" spans="22:22">
      <c r="V4727" s="16"/>
    </row>
    <row r="4728" spans="22:22">
      <c r="V4728" s="16"/>
    </row>
    <row r="4729" spans="22:22">
      <c r="V4729" s="16"/>
    </row>
    <row r="4730" spans="22:22">
      <c r="V4730" s="16"/>
    </row>
    <row r="4731" spans="22:22">
      <c r="V4731" s="16"/>
    </row>
    <row r="4732" spans="22:22">
      <c r="V4732" s="16"/>
    </row>
    <row r="4733" spans="22:22">
      <c r="V4733" s="16"/>
    </row>
    <row r="4734" spans="22:22">
      <c r="V4734" s="16"/>
    </row>
    <row r="4735" spans="22:22">
      <c r="V4735" s="16"/>
    </row>
    <row r="4736" spans="22:22">
      <c r="V4736" s="16"/>
    </row>
    <row r="4737" spans="22:22">
      <c r="V4737" s="16"/>
    </row>
    <row r="4738" spans="22:22">
      <c r="V4738" s="16"/>
    </row>
    <row r="4739" spans="22:22">
      <c r="V4739" s="16"/>
    </row>
    <row r="4740" spans="22:22">
      <c r="V4740" s="16"/>
    </row>
    <row r="4741" spans="22:22">
      <c r="V4741" s="16"/>
    </row>
    <row r="4742" spans="22:22">
      <c r="V4742" s="16"/>
    </row>
    <row r="4743" spans="22:22">
      <c r="V4743" s="16"/>
    </row>
    <row r="4744" spans="22:22">
      <c r="V4744" s="16"/>
    </row>
    <row r="4745" spans="22:22">
      <c r="V4745" s="16"/>
    </row>
    <row r="4746" spans="22:22">
      <c r="V4746" s="16"/>
    </row>
    <row r="4747" spans="22:22">
      <c r="V4747" s="16"/>
    </row>
    <row r="4748" spans="22:22">
      <c r="V4748" s="16"/>
    </row>
    <row r="4749" spans="22:22">
      <c r="V4749" s="16"/>
    </row>
    <row r="4750" spans="22:22">
      <c r="V4750" s="16"/>
    </row>
    <row r="4751" spans="22:22">
      <c r="V4751" s="16"/>
    </row>
    <row r="4752" spans="22:22">
      <c r="V4752" s="16"/>
    </row>
    <row r="4753" spans="22:22">
      <c r="V4753" s="16"/>
    </row>
    <row r="4754" spans="22:22">
      <c r="V4754" s="16"/>
    </row>
    <row r="4755" spans="22:22">
      <c r="V4755" s="16"/>
    </row>
    <row r="4756" spans="22:22">
      <c r="V4756" s="16"/>
    </row>
    <row r="4757" spans="22:22">
      <c r="V4757" s="16"/>
    </row>
    <row r="4758" spans="22:22">
      <c r="V4758" s="16"/>
    </row>
    <row r="4759" spans="22:22">
      <c r="V4759" s="16"/>
    </row>
    <row r="4760" spans="22:22">
      <c r="V4760" s="16"/>
    </row>
    <row r="4761" spans="22:22">
      <c r="V4761" s="16"/>
    </row>
    <row r="4762" spans="22:22">
      <c r="V4762" s="16"/>
    </row>
    <row r="4763" spans="22:22">
      <c r="V4763" s="16"/>
    </row>
    <row r="4764" spans="22:22">
      <c r="V4764" s="16"/>
    </row>
    <row r="4765" spans="22:22">
      <c r="V4765" s="16"/>
    </row>
    <row r="4766" spans="22:22">
      <c r="V4766" s="16"/>
    </row>
    <row r="4767" spans="22:22">
      <c r="V4767" s="16"/>
    </row>
    <row r="4768" spans="22:22">
      <c r="V4768" s="16"/>
    </row>
    <row r="4769" spans="22:22">
      <c r="V4769" s="16"/>
    </row>
    <row r="4770" spans="22:22">
      <c r="V4770" s="16"/>
    </row>
    <row r="4771" spans="22:22">
      <c r="V4771" s="16"/>
    </row>
    <row r="4772" spans="22:22">
      <c r="V4772" s="16"/>
    </row>
    <row r="4773" spans="22:22">
      <c r="V4773" s="16"/>
    </row>
    <row r="4774" spans="22:22">
      <c r="V4774" s="16"/>
    </row>
    <row r="4775" spans="22:22">
      <c r="V4775" s="16"/>
    </row>
    <row r="4776" spans="22:22">
      <c r="V4776" s="16"/>
    </row>
    <row r="4777" spans="22:22">
      <c r="V4777" s="16"/>
    </row>
    <row r="4778" spans="22:22">
      <c r="V4778" s="16"/>
    </row>
    <row r="4779" spans="22:22">
      <c r="V4779" s="16"/>
    </row>
    <row r="4780" spans="22:22">
      <c r="V4780" s="16"/>
    </row>
    <row r="4781" spans="22:22">
      <c r="V4781" s="16"/>
    </row>
    <row r="4782" spans="22:22">
      <c r="V4782" s="16"/>
    </row>
    <row r="4783" spans="22:22">
      <c r="V4783" s="16"/>
    </row>
    <row r="4784" spans="22:22">
      <c r="V4784" s="16"/>
    </row>
    <row r="4785" spans="22:22">
      <c r="V4785" s="16"/>
    </row>
    <row r="4786" spans="22:22">
      <c r="V4786" s="16"/>
    </row>
    <row r="4787" spans="22:22">
      <c r="V4787" s="16"/>
    </row>
    <row r="4788" spans="22:22">
      <c r="V4788" s="16"/>
    </row>
    <row r="4789" spans="22:22">
      <c r="V4789" s="16"/>
    </row>
    <row r="4790" spans="22:22">
      <c r="V4790" s="16"/>
    </row>
    <row r="4791" spans="22:22">
      <c r="V4791" s="16"/>
    </row>
    <row r="4792" spans="22:22">
      <c r="V4792" s="16"/>
    </row>
    <row r="4793" spans="22:22">
      <c r="V4793" s="16"/>
    </row>
    <row r="4794" spans="22:22">
      <c r="V4794" s="16"/>
    </row>
    <row r="4795" spans="22:22">
      <c r="V4795" s="16"/>
    </row>
    <row r="4796" spans="22:22">
      <c r="V4796" s="16"/>
    </row>
    <row r="4797" spans="22:22">
      <c r="V4797" s="16"/>
    </row>
    <row r="4798" spans="22:22">
      <c r="V4798" s="16"/>
    </row>
    <row r="4799" spans="22:22">
      <c r="V4799" s="16"/>
    </row>
    <row r="4800" spans="22:22">
      <c r="V4800" s="16"/>
    </row>
    <row r="4801" spans="22:22">
      <c r="V4801" s="16"/>
    </row>
    <row r="4802" spans="22:22">
      <c r="V4802" s="16"/>
    </row>
    <row r="4803" spans="22:22">
      <c r="V4803" s="16"/>
    </row>
    <row r="4804" spans="22:22">
      <c r="V4804" s="16"/>
    </row>
    <row r="4805" spans="22:22">
      <c r="V4805" s="16"/>
    </row>
    <row r="4806" spans="22:22">
      <c r="V4806" s="16"/>
    </row>
    <row r="4807" spans="22:22">
      <c r="V4807" s="16"/>
    </row>
    <row r="4808" spans="22:22">
      <c r="V4808" s="16"/>
    </row>
    <row r="4809" spans="22:22">
      <c r="V4809" s="16"/>
    </row>
    <row r="4810" spans="22:22">
      <c r="V4810" s="16"/>
    </row>
    <row r="4811" spans="22:22">
      <c r="V4811" s="16"/>
    </row>
    <row r="4812" spans="22:22">
      <c r="V4812" s="16"/>
    </row>
    <row r="4813" spans="22:22">
      <c r="V4813" s="16"/>
    </row>
    <row r="4814" spans="22:22">
      <c r="V4814" s="16"/>
    </row>
    <row r="4815" spans="22:22">
      <c r="V4815" s="16"/>
    </row>
    <row r="4816" spans="22:22">
      <c r="V4816" s="16"/>
    </row>
    <row r="4817" spans="22:22">
      <c r="V4817" s="16"/>
    </row>
    <row r="4818" spans="22:22">
      <c r="V4818" s="16"/>
    </row>
    <row r="4819" spans="22:22">
      <c r="V4819" s="16"/>
    </row>
    <row r="4820" spans="22:22">
      <c r="V4820" s="16"/>
    </row>
    <row r="4821" spans="22:22">
      <c r="V4821" s="16"/>
    </row>
    <row r="4822" spans="22:22">
      <c r="V4822" s="16"/>
    </row>
    <row r="4823" spans="22:22">
      <c r="V4823" s="16"/>
    </row>
    <row r="4824" spans="22:22">
      <c r="V4824" s="16"/>
    </row>
    <row r="4825" spans="22:22">
      <c r="V4825" s="16"/>
    </row>
    <row r="4826" spans="22:22">
      <c r="V4826" s="16"/>
    </row>
    <row r="4827" spans="22:22">
      <c r="V4827" s="16"/>
    </row>
    <row r="4828" spans="22:22">
      <c r="V4828" s="16"/>
    </row>
    <row r="4829" spans="22:22">
      <c r="V4829" s="16"/>
    </row>
    <row r="4830" spans="22:22">
      <c r="V4830" s="16"/>
    </row>
    <row r="4831" spans="22:22">
      <c r="V4831" s="16"/>
    </row>
    <row r="4832" spans="22:22">
      <c r="V4832" s="16"/>
    </row>
    <row r="4833" spans="22:22">
      <c r="V4833" s="16"/>
    </row>
    <row r="4834" spans="22:22">
      <c r="V4834" s="16"/>
    </row>
    <row r="4835" spans="22:22">
      <c r="V4835" s="16"/>
    </row>
    <row r="4836" spans="22:22">
      <c r="V4836" s="16"/>
    </row>
    <row r="4837" spans="22:22">
      <c r="V4837" s="16"/>
    </row>
    <row r="4838" spans="22:22">
      <c r="V4838" s="16"/>
    </row>
    <row r="4839" spans="22:22">
      <c r="V4839" s="16"/>
    </row>
    <row r="4840" spans="22:22">
      <c r="V4840" s="16"/>
    </row>
    <row r="4841" spans="22:22">
      <c r="V4841" s="16"/>
    </row>
    <row r="4842" spans="22:22">
      <c r="V4842" s="16"/>
    </row>
    <row r="4843" spans="22:22">
      <c r="V4843" s="16"/>
    </row>
    <row r="4844" spans="22:22">
      <c r="V4844" s="16"/>
    </row>
    <row r="4845" spans="22:22">
      <c r="V4845" s="16"/>
    </row>
    <row r="4846" spans="22:22">
      <c r="V4846" s="16"/>
    </row>
    <row r="4847" spans="22:22">
      <c r="V4847" s="16"/>
    </row>
    <row r="4848" spans="22:22">
      <c r="V4848" s="16"/>
    </row>
    <row r="4849" spans="22:22">
      <c r="V4849" s="16"/>
    </row>
    <row r="4850" spans="22:22">
      <c r="V4850" s="16"/>
    </row>
    <row r="4851" spans="22:22">
      <c r="V4851" s="16"/>
    </row>
    <row r="4852" spans="22:22">
      <c r="V4852" s="16"/>
    </row>
    <row r="4853" spans="22:22">
      <c r="V4853" s="16"/>
    </row>
    <row r="4854" spans="22:22">
      <c r="V4854" s="16"/>
    </row>
    <row r="4855" spans="22:22">
      <c r="V4855" s="16"/>
    </row>
    <row r="4856" spans="22:22">
      <c r="V4856" s="16"/>
    </row>
    <row r="4857" spans="22:22">
      <c r="V4857" s="16"/>
    </row>
    <row r="4858" spans="22:22">
      <c r="V4858" s="16"/>
    </row>
    <row r="4859" spans="22:22">
      <c r="V4859" s="16"/>
    </row>
    <row r="4860" spans="22:22">
      <c r="V4860" s="16"/>
    </row>
    <row r="4861" spans="22:22">
      <c r="V4861" s="16"/>
    </row>
    <row r="4862" spans="22:22">
      <c r="V4862" s="16"/>
    </row>
    <row r="4863" spans="22:22">
      <c r="V4863" s="16"/>
    </row>
    <row r="4864" spans="22:22">
      <c r="V4864" s="16"/>
    </row>
    <row r="4865" spans="22:22">
      <c r="V4865" s="16"/>
    </row>
    <row r="4866" spans="22:22">
      <c r="V4866" s="16"/>
    </row>
    <row r="4867" spans="22:22">
      <c r="V4867" s="16"/>
    </row>
    <row r="4868" spans="22:22">
      <c r="V4868" s="16"/>
    </row>
    <row r="4869" spans="22:22">
      <c r="V4869" s="16"/>
    </row>
    <row r="4870" spans="22:22">
      <c r="V4870" s="16"/>
    </row>
    <row r="4871" spans="22:22">
      <c r="V4871" s="16"/>
    </row>
    <row r="4872" spans="22:22">
      <c r="V4872" s="16"/>
    </row>
    <row r="4873" spans="22:22">
      <c r="V4873" s="16"/>
    </row>
    <row r="4874" spans="22:22">
      <c r="V4874" s="16"/>
    </row>
    <row r="4875" spans="22:22">
      <c r="V4875" s="16"/>
    </row>
    <row r="4876" spans="22:22">
      <c r="V4876" s="16"/>
    </row>
    <row r="4877" spans="22:22">
      <c r="V4877" s="16"/>
    </row>
    <row r="4878" spans="22:22">
      <c r="V4878" s="16"/>
    </row>
    <row r="4879" spans="22:22">
      <c r="V4879" s="16"/>
    </row>
    <row r="4880" spans="22:22">
      <c r="V4880" s="16"/>
    </row>
    <row r="4881" spans="22:22">
      <c r="V4881" s="16"/>
    </row>
    <row r="4882" spans="22:22">
      <c r="V4882" s="16"/>
    </row>
    <row r="4883" spans="22:22">
      <c r="V4883" s="16"/>
    </row>
    <row r="4884" spans="22:22">
      <c r="V4884" s="16"/>
    </row>
    <row r="4885" spans="22:22">
      <c r="V4885" s="16"/>
    </row>
    <row r="4886" spans="22:22">
      <c r="V4886" s="16"/>
    </row>
    <row r="4887" spans="22:22">
      <c r="V4887" s="16"/>
    </row>
    <row r="4888" spans="22:22">
      <c r="V4888" s="16"/>
    </row>
    <row r="4889" spans="22:22">
      <c r="V4889" s="16"/>
    </row>
    <row r="4890" spans="22:22">
      <c r="V4890" s="16"/>
    </row>
    <row r="4891" spans="22:22">
      <c r="V4891" s="16"/>
    </row>
    <row r="4892" spans="22:22">
      <c r="V4892" s="16"/>
    </row>
    <row r="4893" spans="22:22">
      <c r="V4893" s="16"/>
    </row>
    <row r="4894" spans="22:22">
      <c r="V4894" s="16"/>
    </row>
    <row r="4895" spans="22:22">
      <c r="V4895" s="16"/>
    </row>
    <row r="4896" spans="22:22">
      <c r="V4896" s="16"/>
    </row>
    <row r="4897" spans="22:22">
      <c r="V4897" s="16"/>
    </row>
    <row r="4898" spans="22:22">
      <c r="V4898" s="16"/>
    </row>
    <row r="4899" spans="22:22">
      <c r="V4899" s="16"/>
    </row>
    <row r="4900" spans="22:22">
      <c r="V4900" s="16"/>
    </row>
    <row r="4901" spans="22:22">
      <c r="V4901" s="16"/>
    </row>
    <row r="4902" spans="22:22">
      <c r="V4902" s="16"/>
    </row>
    <row r="4903" spans="22:22">
      <c r="V4903" s="16"/>
    </row>
    <row r="4904" spans="22:22">
      <c r="V4904" s="16"/>
    </row>
    <row r="4905" spans="22:22">
      <c r="V4905" s="16"/>
    </row>
    <row r="4906" spans="22:22">
      <c r="V4906" s="16"/>
    </row>
    <row r="4907" spans="22:22">
      <c r="V4907" s="16"/>
    </row>
    <row r="4908" spans="22:22">
      <c r="V4908" s="16"/>
    </row>
    <row r="4909" spans="22:22">
      <c r="V4909" s="16"/>
    </row>
    <row r="4910" spans="22:22">
      <c r="V4910" s="16"/>
    </row>
    <row r="4911" spans="22:22">
      <c r="V4911" s="16"/>
    </row>
    <row r="4912" spans="22:22">
      <c r="V4912" s="16"/>
    </row>
    <row r="4913" spans="22:22">
      <c r="V4913" s="16"/>
    </row>
    <row r="4914" spans="22:22">
      <c r="V4914" s="16"/>
    </row>
    <row r="4915" spans="22:22">
      <c r="V4915" s="16"/>
    </row>
    <row r="4916" spans="22:22">
      <c r="V4916" s="16"/>
    </row>
    <row r="4917" spans="22:22">
      <c r="V4917" s="16"/>
    </row>
    <row r="4918" spans="22:22">
      <c r="V4918" s="16"/>
    </row>
    <row r="4919" spans="22:22">
      <c r="V4919" s="16"/>
    </row>
    <row r="4920" spans="22:22">
      <c r="V4920" s="16"/>
    </row>
    <row r="4921" spans="22:22">
      <c r="V4921" s="16"/>
    </row>
    <row r="4922" spans="22:22">
      <c r="V4922" s="16"/>
    </row>
    <row r="4923" spans="22:22">
      <c r="V4923" s="16"/>
    </row>
    <row r="4924" spans="22:22">
      <c r="V4924" s="16"/>
    </row>
    <row r="4925" spans="22:22">
      <c r="V4925" s="16"/>
    </row>
    <row r="4926" spans="22:22">
      <c r="V4926" s="16"/>
    </row>
    <row r="4927" spans="22:22">
      <c r="V4927" s="16"/>
    </row>
    <row r="4928" spans="22:22">
      <c r="V4928" s="16"/>
    </row>
    <row r="4929" spans="22:22">
      <c r="V4929" s="16"/>
    </row>
    <row r="4930" spans="22:22">
      <c r="V4930" s="16"/>
    </row>
    <row r="4931" spans="22:22">
      <c r="V4931" s="16"/>
    </row>
    <row r="4932" spans="22:22">
      <c r="V4932" s="16"/>
    </row>
    <row r="4933" spans="22:22">
      <c r="V4933" s="16"/>
    </row>
    <row r="4934" spans="22:22">
      <c r="V4934" s="16"/>
    </row>
    <row r="4935" spans="22:22">
      <c r="V4935" s="16"/>
    </row>
    <row r="4936" spans="22:22">
      <c r="V4936" s="16"/>
    </row>
    <row r="4937" spans="22:22">
      <c r="V4937" s="16"/>
    </row>
    <row r="4938" spans="22:22">
      <c r="V4938" s="16"/>
    </row>
    <row r="4939" spans="22:22">
      <c r="V4939" s="16"/>
    </row>
    <row r="4940" spans="22:22">
      <c r="V4940" s="16"/>
    </row>
    <row r="4941" spans="22:22">
      <c r="V4941" s="16"/>
    </row>
    <row r="4942" spans="22:22">
      <c r="V4942" s="16"/>
    </row>
    <row r="4943" spans="22:22">
      <c r="V4943" s="16"/>
    </row>
    <row r="4944" spans="22:22">
      <c r="V4944" s="16"/>
    </row>
    <row r="4945" spans="22:22">
      <c r="V4945" s="16"/>
    </row>
    <row r="4946" spans="22:22">
      <c r="V4946" s="16"/>
    </row>
    <row r="4947" spans="22:22">
      <c r="V4947" s="16"/>
    </row>
    <row r="4948" spans="22:22">
      <c r="V4948" s="16"/>
    </row>
    <row r="4949" spans="22:22">
      <c r="V4949" s="16"/>
    </row>
    <row r="4950" spans="22:22">
      <c r="V4950" s="16"/>
    </row>
    <row r="4951" spans="22:22">
      <c r="V4951" s="16"/>
    </row>
    <row r="4952" spans="22:22">
      <c r="V4952" s="16"/>
    </row>
    <row r="4953" spans="22:22">
      <c r="V4953" s="16"/>
    </row>
    <row r="4954" spans="22:22">
      <c r="V4954" s="16"/>
    </row>
    <row r="4955" spans="22:22">
      <c r="V4955" s="16"/>
    </row>
    <row r="4956" spans="22:22">
      <c r="V4956" s="16"/>
    </row>
    <row r="4957" spans="22:22">
      <c r="V4957" s="16"/>
    </row>
    <row r="4958" spans="22:22">
      <c r="V4958" s="16"/>
    </row>
    <row r="4959" spans="22:22">
      <c r="V4959" s="16"/>
    </row>
    <row r="4960" spans="22:22">
      <c r="V4960" s="16"/>
    </row>
    <row r="4961" spans="22:22">
      <c r="V4961" s="16"/>
    </row>
    <row r="4962" spans="22:22">
      <c r="V4962" s="16"/>
    </row>
    <row r="4963" spans="22:22">
      <c r="V4963" s="16"/>
    </row>
    <row r="4964" spans="22:22">
      <c r="V4964" s="16"/>
    </row>
    <row r="4965" spans="22:22">
      <c r="V4965" s="16"/>
    </row>
    <row r="4966" spans="22:22">
      <c r="V4966" s="16"/>
    </row>
    <row r="4967" spans="22:22">
      <c r="V4967" s="16"/>
    </row>
    <row r="4968" spans="22:22">
      <c r="V4968" s="16"/>
    </row>
    <row r="4969" spans="22:22">
      <c r="V4969" s="16"/>
    </row>
    <row r="4970" spans="22:22">
      <c r="V4970" s="16"/>
    </row>
    <row r="4971" spans="22:22">
      <c r="V4971" s="16"/>
    </row>
    <row r="4972" spans="22:22">
      <c r="V4972" s="16"/>
    </row>
    <row r="4973" spans="22:22">
      <c r="V4973" s="16"/>
    </row>
    <row r="4974" spans="22:22">
      <c r="V4974" s="16"/>
    </row>
    <row r="4975" spans="22:22">
      <c r="V4975" s="16"/>
    </row>
    <row r="4976" spans="22:22">
      <c r="V4976" s="16"/>
    </row>
    <row r="4977" spans="22:22">
      <c r="V4977" s="16"/>
    </row>
    <row r="4978" spans="22:22">
      <c r="V4978" s="16"/>
    </row>
    <row r="4979" spans="22:22">
      <c r="V4979" s="16"/>
    </row>
    <row r="4980" spans="22:22">
      <c r="V4980" s="16"/>
    </row>
    <row r="4981" spans="22:22">
      <c r="V4981" s="16"/>
    </row>
    <row r="4982" spans="22:22">
      <c r="V4982" s="16"/>
    </row>
    <row r="4983" spans="22:22">
      <c r="V4983" s="16"/>
    </row>
    <row r="4984" spans="22:22">
      <c r="V4984" s="16"/>
    </row>
    <row r="4985" spans="22:22">
      <c r="V4985" s="16"/>
    </row>
    <row r="4986" spans="22:22">
      <c r="V4986" s="16"/>
    </row>
    <row r="4987" spans="22:22">
      <c r="V4987" s="16"/>
    </row>
    <row r="4988" spans="22:22">
      <c r="V4988" s="16"/>
    </row>
    <row r="4989" spans="22:22">
      <c r="V4989" s="16"/>
    </row>
    <row r="4990" spans="22:22">
      <c r="V4990" s="16"/>
    </row>
    <row r="4991" spans="22:22">
      <c r="V4991" s="16"/>
    </row>
    <row r="4992" spans="22:22">
      <c r="V4992" s="16"/>
    </row>
    <row r="4993" spans="22:22">
      <c r="V4993" s="16"/>
    </row>
    <row r="4994" spans="22:22">
      <c r="V4994" s="16"/>
    </row>
    <row r="4995" spans="22:22">
      <c r="V4995" s="16"/>
    </row>
    <row r="4996" spans="22:22">
      <c r="V4996" s="16"/>
    </row>
    <row r="4997" spans="22:22">
      <c r="V4997" s="16"/>
    </row>
    <row r="4998" spans="22:22">
      <c r="V4998" s="16"/>
    </row>
    <row r="4999" spans="22:22">
      <c r="V4999" s="16"/>
    </row>
    <row r="5000" spans="22:22">
      <c r="V5000" s="16"/>
    </row>
    <row r="5001" spans="22:22">
      <c r="V5001" s="16"/>
    </row>
    <row r="5002" spans="22:22">
      <c r="V5002" s="16"/>
    </row>
    <row r="5003" spans="22:22">
      <c r="V5003" s="16"/>
    </row>
    <row r="5004" spans="22:22">
      <c r="V5004" s="16"/>
    </row>
    <row r="5005" spans="22:22">
      <c r="V5005" s="16"/>
    </row>
    <row r="5006" spans="22:22">
      <c r="V5006" s="16"/>
    </row>
    <row r="5007" spans="22:22">
      <c r="V5007" s="16"/>
    </row>
    <row r="5008" spans="22:22">
      <c r="V5008" s="16"/>
    </row>
    <row r="5009" spans="22:22">
      <c r="V5009" s="16"/>
    </row>
    <row r="5010" spans="22:22">
      <c r="V5010" s="16"/>
    </row>
    <row r="5011" spans="22:22">
      <c r="V5011" s="16"/>
    </row>
    <row r="5012" spans="22:22">
      <c r="V5012" s="16"/>
    </row>
    <row r="5013" spans="22:22">
      <c r="V5013" s="16"/>
    </row>
    <row r="5014" spans="22:22">
      <c r="V5014" s="16"/>
    </row>
    <row r="5015" spans="22:22">
      <c r="V5015" s="16"/>
    </row>
    <row r="5016" spans="22:22">
      <c r="V5016" s="16"/>
    </row>
    <row r="5017" spans="22:22">
      <c r="V5017" s="16"/>
    </row>
    <row r="5018" spans="22:22">
      <c r="V5018" s="16"/>
    </row>
    <row r="5019" spans="22:22">
      <c r="V5019" s="16"/>
    </row>
    <row r="5020" spans="22:22">
      <c r="V5020" s="16"/>
    </row>
    <row r="5021" spans="22:22">
      <c r="V5021" s="16"/>
    </row>
    <row r="5022" spans="22:22">
      <c r="V5022" s="16"/>
    </row>
    <row r="5023" spans="22:22">
      <c r="V5023" s="16"/>
    </row>
    <row r="5024" spans="22:22">
      <c r="V5024" s="16"/>
    </row>
    <row r="5025" spans="22:22">
      <c r="V5025" s="16"/>
    </row>
    <row r="5026" spans="22:22">
      <c r="V5026" s="16"/>
    </row>
    <row r="5027" spans="22:22">
      <c r="V5027" s="16"/>
    </row>
    <row r="5028" spans="22:22">
      <c r="V5028" s="16"/>
    </row>
    <row r="5029" spans="22:22">
      <c r="V5029" s="16"/>
    </row>
    <row r="5030" spans="22:22">
      <c r="V5030" s="16"/>
    </row>
    <row r="5031" spans="22:22">
      <c r="V5031" s="16"/>
    </row>
    <row r="5032" spans="22:22">
      <c r="V5032" s="16"/>
    </row>
    <row r="5033" spans="22:22">
      <c r="V5033" s="16"/>
    </row>
    <row r="5034" spans="22:22">
      <c r="V5034" s="16"/>
    </row>
    <row r="5035" spans="22:22">
      <c r="V5035" s="16"/>
    </row>
    <row r="5036" spans="22:22">
      <c r="V5036" s="16"/>
    </row>
    <row r="5037" spans="22:22">
      <c r="V5037" s="16"/>
    </row>
    <row r="5038" spans="22:22">
      <c r="V5038" s="16"/>
    </row>
    <row r="5039" spans="22:22">
      <c r="V5039" s="16"/>
    </row>
    <row r="5040" spans="22:22">
      <c r="V5040" s="16"/>
    </row>
    <row r="5041" spans="22:22">
      <c r="V5041" s="16"/>
    </row>
    <row r="5042" spans="22:22">
      <c r="V5042" s="16"/>
    </row>
    <row r="5043" spans="22:22">
      <c r="V5043" s="16"/>
    </row>
    <row r="5044" spans="22:22">
      <c r="V5044" s="16"/>
    </row>
    <row r="5045" spans="22:22">
      <c r="V5045" s="16"/>
    </row>
    <row r="5046" spans="22:22">
      <c r="V5046" s="16"/>
    </row>
    <row r="5047" spans="22:22">
      <c r="V5047" s="16"/>
    </row>
    <row r="5048" spans="22:22">
      <c r="V5048" s="16"/>
    </row>
    <row r="5049" spans="22:22">
      <c r="V5049" s="16"/>
    </row>
    <row r="5050" spans="22:22">
      <c r="V5050" s="16"/>
    </row>
    <row r="5051" spans="22:22">
      <c r="V5051" s="16"/>
    </row>
    <row r="5052" spans="22:22">
      <c r="V5052" s="16"/>
    </row>
    <row r="5053" spans="22:22">
      <c r="V5053" s="16"/>
    </row>
    <row r="5054" spans="22:22">
      <c r="V5054" s="16"/>
    </row>
    <row r="5055" spans="22:22">
      <c r="V5055" s="16"/>
    </row>
    <row r="5056" spans="22:22">
      <c r="V5056" s="16"/>
    </row>
    <row r="5057" spans="22:22">
      <c r="V5057" s="16"/>
    </row>
    <row r="5058" spans="22:22">
      <c r="V5058" s="16"/>
    </row>
    <row r="5059" spans="22:22">
      <c r="V5059" s="16"/>
    </row>
    <row r="5060" spans="22:22">
      <c r="V5060" s="16"/>
    </row>
    <row r="5061" spans="22:22">
      <c r="V5061" s="16"/>
    </row>
    <row r="5062" spans="22:22">
      <c r="V5062" s="16"/>
    </row>
    <row r="5063" spans="22:22">
      <c r="V5063" s="16"/>
    </row>
    <row r="5064" spans="22:22">
      <c r="V5064" s="16"/>
    </row>
    <row r="5065" spans="22:22">
      <c r="V5065" s="16"/>
    </row>
    <row r="5066" spans="22:22">
      <c r="V5066" s="16"/>
    </row>
    <row r="5067" spans="22:22">
      <c r="V5067" s="16"/>
    </row>
    <row r="5068" spans="22:22">
      <c r="V5068" s="16"/>
    </row>
    <row r="5069" spans="22:22">
      <c r="V5069" s="16"/>
    </row>
    <row r="5070" spans="22:22">
      <c r="V5070" s="16"/>
    </row>
    <row r="5071" spans="22:22">
      <c r="V5071" s="16"/>
    </row>
    <row r="5072" spans="22:22">
      <c r="V5072" s="16"/>
    </row>
    <row r="5073" spans="22:22">
      <c r="V5073" s="16"/>
    </row>
    <row r="5074" spans="22:22">
      <c r="V5074" s="16"/>
    </row>
    <row r="5075" spans="22:22">
      <c r="V5075" s="16"/>
    </row>
    <row r="5076" spans="22:22">
      <c r="V5076" s="16"/>
    </row>
    <row r="5077" spans="22:22">
      <c r="V5077" s="16"/>
    </row>
    <row r="5078" spans="22:22">
      <c r="V5078" s="16"/>
    </row>
    <row r="5079" spans="22:22">
      <c r="V5079" s="16"/>
    </row>
    <row r="5080" spans="22:22">
      <c r="V5080" s="16"/>
    </row>
    <row r="5081" spans="22:22">
      <c r="V5081" s="16"/>
    </row>
    <row r="5082" spans="22:22">
      <c r="V5082" s="16"/>
    </row>
    <row r="5083" spans="22:22">
      <c r="V5083" s="16"/>
    </row>
    <row r="5084" spans="22:22">
      <c r="V5084" s="16"/>
    </row>
    <row r="5085" spans="22:22">
      <c r="V5085" s="16"/>
    </row>
    <row r="5086" spans="22:22">
      <c r="V5086" s="16"/>
    </row>
    <row r="5087" spans="22:22">
      <c r="V5087" s="16"/>
    </row>
    <row r="5088" spans="22:22">
      <c r="V5088" s="16"/>
    </row>
    <row r="5089" spans="22:22">
      <c r="V5089" s="16"/>
    </row>
    <row r="5090" spans="22:22">
      <c r="V5090" s="16"/>
    </row>
    <row r="5091" spans="22:22">
      <c r="V5091" s="16"/>
    </row>
    <row r="5092" spans="22:22">
      <c r="V5092" s="16"/>
    </row>
    <row r="5093" spans="22:22">
      <c r="V5093" s="16"/>
    </row>
    <row r="5094" spans="22:22">
      <c r="V5094" s="16"/>
    </row>
    <row r="5095" spans="22:22">
      <c r="V5095" s="16"/>
    </row>
    <row r="5096" spans="22:22">
      <c r="V5096" s="16"/>
    </row>
    <row r="5097" spans="22:22">
      <c r="V5097" s="16"/>
    </row>
    <row r="5098" spans="22:22">
      <c r="V5098" s="16"/>
    </row>
    <row r="5099" spans="22:22">
      <c r="V5099" s="16"/>
    </row>
    <row r="5100" spans="22:22">
      <c r="V5100" s="16"/>
    </row>
    <row r="5101" spans="22:22">
      <c r="V5101" s="16"/>
    </row>
    <row r="5102" spans="22:22">
      <c r="V5102" s="16"/>
    </row>
    <row r="5103" spans="22:22">
      <c r="V5103" s="16"/>
    </row>
    <row r="5104" spans="22:22">
      <c r="V5104" s="16"/>
    </row>
    <row r="5105" spans="22:22">
      <c r="V5105" s="16"/>
    </row>
    <row r="5106" spans="22:22">
      <c r="V5106" s="16"/>
    </row>
    <row r="5107" spans="22:22">
      <c r="V5107" s="16"/>
    </row>
    <row r="5108" spans="22:22">
      <c r="V5108" s="16"/>
    </row>
    <row r="5109" spans="22:22">
      <c r="V5109" s="16"/>
    </row>
    <row r="5110" spans="22:22">
      <c r="V5110" s="16"/>
    </row>
    <row r="5111" spans="22:22">
      <c r="V5111" s="16"/>
    </row>
    <row r="5112" spans="22:22">
      <c r="V5112" s="16"/>
    </row>
    <row r="5113" spans="22:22">
      <c r="V5113" s="16"/>
    </row>
    <row r="5114" spans="22:22">
      <c r="V5114" s="16"/>
    </row>
    <row r="5115" spans="22:22">
      <c r="V5115" s="16"/>
    </row>
    <row r="5116" spans="22:22">
      <c r="V5116" s="16"/>
    </row>
    <row r="5117" spans="22:22">
      <c r="V5117" s="16"/>
    </row>
    <row r="5118" spans="22:22">
      <c r="V5118" s="16"/>
    </row>
    <row r="5119" spans="22:22">
      <c r="V5119" s="16"/>
    </row>
    <row r="5120" spans="22:22">
      <c r="V5120" s="16"/>
    </row>
    <row r="5121" spans="22:22">
      <c r="V5121" s="16"/>
    </row>
    <row r="5122" spans="22:22">
      <c r="V5122" s="16"/>
    </row>
    <row r="5123" spans="22:22">
      <c r="V5123" s="16"/>
    </row>
    <row r="5124" spans="22:22">
      <c r="V5124" s="16"/>
    </row>
    <row r="5125" spans="22:22">
      <c r="V5125" s="16"/>
    </row>
    <row r="5126" spans="22:22">
      <c r="V5126" s="16"/>
    </row>
    <row r="5127" spans="22:22">
      <c r="V5127" s="16"/>
    </row>
    <row r="5128" spans="22:22">
      <c r="V5128" s="16"/>
    </row>
    <row r="5129" spans="22:22">
      <c r="V5129" s="16"/>
    </row>
    <row r="5130" spans="22:22">
      <c r="V5130" s="16"/>
    </row>
    <row r="5131" spans="22:22">
      <c r="V5131" s="16"/>
    </row>
    <row r="5132" spans="22:22">
      <c r="V5132" s="16"/>
    </row>
    <row r="5133" spans="22:22">
      <c r="V5133" s="16"/>
    </row>
    <row r="5134" spans="22:22">
      <c r="V5134" s="16"/>
    </row>
    <row r="5135" spans="22:22">
      <c r="V5135" s="16"/>
    </row>
    <row r="5136" spans="22:22">
      <c r="V5136" s="16"/>
    </row>
    <row r="5137" spans="22:22">
      <c r="V5137" s="16"/>
    </row>
    <row r="5138" spans="22:22">
      <c r="V5138" s="16"/>
    </row>
    <row r="5139" spans="22:22">
      <c r="V5139" s="16"/>
    </row>
    <row r="5140" spans="22:22">
      <c r="V5140" s="16"/>
    </row>
    <row r="5141" spans="22:22">
      <c r="V5141" s="16"/>
    </row>
    <row r="5142" spans="22:22">
      <c r="V5142" s="16"/>
    </row>
    <row r="5143" spans="22:22">
      <c r="V5143" s="16"/>
    </row>
    <row r="5144" spans="22:22">
      <c r="V5144" s="16"/>
    </row>
    <row r="5145" spans="22:22">
      <c r="V5145" s="16"/>
    </row>
    <row r="5146" spans="22:22">
      <c r="V5146" s="16"/>
    </row>
    <row r="5147" spans="22:22">
      <c r="V5147" s="16"/>
    </row>
    <row r="5148" spans="22:22">
      <c r="V5148" s="16"/>
    </row>
    <row r="5149" spans="22:22">
      <c r="V5149" s="16"/>
    </row>
    <row r="5150" spans="22:22">
      <c r="V5150" s="16"/>
    </row>
    <row r="5151" spans="22:22">
      <c r="V5151" s="16"/>
    </row>
    <row r="5152" spans="22:22">
      <c r="V5152" s="16"/>
    </row>
    <row r="5153" spans="22:22">
      <c r="V5153" s="16"/>
    </row>
    <row r="5154" spans="22:22">
      <c r="V5154" s="16"/>
    </row>
    <row r="5155" spans="22:22">
      <c r="V5155" s="16"/>
    </row>
    <row r="5156" spans="22:22">
      <c r="V5156" s="16"/>
    </row>
    <row r="5157" spans="22:22">
      <c r="V5157" s="16"/>
    </row>
    <row r="5158" spans="22:22">
      <c r="V5158" s="16"/>
    </row>
    <row r="5159" spans="22:22">
      <c r="V5159" s="16"/>
    </row>
    <row r="5160" spans="22:22">
      <c r="V5160" s="16"/>
    </row>
    <row r="5161" spans="22:22">
      <c r="V5161" s="16"/>
    </row>
    <row r="5162" spans="22:22">
      <c r="V5162" s="16"/>
    </row>
    <row r="5163" spans="22:22">
      <c r="V5163" s="16"/>
    </row>
    <row r="5164" spans="22:22">
      <c r="V5164" s="16"/>
    </row>
    <row r="5165" spans="22:22">
      <c r="V5165" s="16"/>
    </row>
    <row r="5166" spans="22:22">
      <c r="V5166" s="16"/>
    </row>
    <row r="5167" spans="22:22">
      <c r="V5167" s="16"/>
    </row>
    <row r="5168" spans="22:22">
      <c r="V5168" s="16"/>
    </row>
    <row r="5169" spans="22:22">
      <c r="V5169" s="16"/>
    </row>
    <row r="5170" spans="22:22">
      <c r="V5170" s="16"/>
    </row>
    <row r="5171" spans="22:22">
      <c r="V5171" s="16"/>
    </row>
    <row r="5172" spans="22:22">
      <c r="V5172" s="16"/>
    </row>
    <row r="5173" spans="22:22">
      <c r="V5173" s="16"/>
    </row>
    <row r="5174" spans="22:22">
      <c r="V5174" s="16"/>
    </row>
    <row r="5175" spans="22:22">
      <c r="V5175" s="16"/>
    </row>
    <row r="5176" spans="22:22">
      <c r="V5176" s="16"/>
    </row>
    <row r="5177" spans="22:22">
      <c r="V5177" s="16"/>
    </row>
    <row r="5178" spans="22:22">
      <c r="V5178" s="16"/>
    </row>
    <row r="5179" spans="22:22">
      <c r="V5179" s="16"/>
    </row>
    <row r="5180" spans="22:22">
      <c r="V5180" s="16"/>
    </row>
    <row r="5181" spans="22:22">
      <c r="V5181" s="16"/>
    </row>
    <row r="5182" spans="22:22">
      <c r="V5182" s="16"/>
    </row>
    <row r="5183" spans="22:22">
      <c r="V5183" s="16"/>
    </row>
    <row r="5184" spans="22:22">
      <c r="V5184" s="16"/>
    </row>
    <row r="5185" spans="22:22">
      <c r="V5185" s="16"/>
    </row>
    <row r="5186" spans="22:22">
      <c r="V5186" s="16"/>
    </row>
    <row r="5187" spans="22:22">
      <c r="V5187" s="16"/>
    </row>
    <row r="5188" spans="22:22">
      <c r="V5188" s="16"/>
    </row>
    <row r="5189" spans="22:22">
      <c r="V5189" s="16"/>
    </row>
    <row r="5190" spans="22:22">
      <c r="V5190" s="16"/>
    </row>
    <row r="5191" spans="22:22">
      <c r="V5191" s="16"/>
    </row>
    <row r="5192" spans="22:22">
      <c r="V5192" s="16"/>
    </row>
    <row r="5193" spans="22:22">
      <c r="V5193" s="16"/>
    </row>
    <row r="5194" spans="22:22">
      <c r="V5194" s="16"/>
    </row>
    <row r="5195" spans="22:22">
      <c r="V5195" s="16"/>
    </row>
    <row r="5196" spans="22:22">
      <c r="V5196" s="16"/>
    </row>
    <row r="5197" spans="22:22">
      <c r="V5197" s="16"/>
    </row>
    <row r="5198" spans="22:22">
      <c r="V5198" s="16"/>
    </row>
    <row r="5199" spans="22:22">
      <c r="V5199" s="16"/>
    </row>
    <row r="5200" spans="22:22">
      <c r="V5200" s="16"/>
    </row>
    <row r="5201" spans="22:22">
      <c r="V5201" s="16"/>
    </row>
    <row r="5202" spans="22:22">
      <c r="V5202" s="16"/>
    </row>
    <row r="5203" spans="22:22">
      <c r="V5203" s="16"/>
    </row>
    <row r="5204" spans="22:22">
      <c r="V5204" s="16"/>
    </row>
    <row r="5205" spans="22:22">
      <c r="V5205" s="16"/>
    </row>
    <row r="5206" spans="22:22">
      <c r="V5206" s="16"/>
    </row>
    <row r="5207" spans="22:22">
      <c r="V5207" s="16"/>
    </row>
    <row r="5208" spans="22:22">
      <c r="V5208" s="16"/>
    </row>
    <row r="5209" spans="22:22">
      <c r="V5209" s="16"/>
    </row>
    <row r="5210" spans="22:22">
      <c r="V5210" s="16"/>
    </row>
    <row r="5211" spans="22:22">
      <c r="V5211" s="16"/>
    </row>
    <row r="5212" spans="22:22">
      <c r="V5212" s="16"/>
    </row>
    <row r="5213" spans="22:22">
      <c r="V5213" s="16"/>
    </row>
    <row r="5214" spans="22:22">
      <c r="V5214" s="16"/>
    </row>
    <row r="5215" spans="22:22">
      <c r="V5215" s="16"/>
    </row>
    <row r="5216" spans="22:22">
      <c r="V5216" s="16"/>
    </row>
    <row r="5217" spans="22:22">
      <c r="V5217" s="16"/>
    </row>
    <row r="5218" spans="22:22">
      <c r="V5218" s="16"/>
    </row>
    <row r="5219" spans="22:22">
      <c r="V5219" s="16"/>
    </row>
    <row r="5220" spans="22:22">
      <c r="V5220" s="16"/>
    </row>
    <row r="5221" spans="22:22">
      <c r="V5221" s="16"/>
    </row>
    <row r="5222" spans="22:22">
      <c r="V5222" s="16"/>
    </row>
    <row r="5223" spans="22:22">
      <c r="V5223" s="16"/>
    </row>
    <row r="5224" spans="22:22">
      <c r="V5224" s="16"/>
    </row>
    <row r="5225" spans="22:22">
      <c r="V5225" s="16"/>
    </row>
    <row r="5226" spans="22:22">
      <c r="V5226" s="16"/>
    </row>
    <row r="5227" spans="22:22">
      <c r="V5227" s="16"/>
    </row>
    <row r="5228" spans="22:22">
      <c r="V5228" s="16"/>
    </row>
    <row r="5229" spans="22:22">
      <c r="V5229" s="16"/>
    </row>
    <row r="5230" spans="22:22">
      <c r="V5230" s="16"/>
    </row>
    <row r="5231" spans="22:22">
      <c r="V5231" s="16"/>
    </row>
    <row r="5232" spans="22:22">
      <c r="V5232" s="16"/>
    </row>
    <row r="5233" spans="22:22">
      <c r="V5233" s="16"/>
    </row>
    <row r="5234" spans="22:22">
      <c r="V5234" s="16"/>
    </row>
    <row r="5235" spans="22:22">
      <c r="V5235" s="16"/>
    </row>
    <row r="5236" spans="22:22">
      <c r="V5236" s="16"/>
    </row>
    <row r="5237" spans="22:22">
      <c r="V5237" s="16"/>
    </row>
    <row r="5238" spans="22:22">
      <c r="V5238" s="16"/>
    </row>
    <row r="5239" spans="22:22">
      <c r="V5239" s="16"/>
    </row>
    <row r="5240" spans="22:22">
      <c r="V5240" s="16"/>
    </row>
    <row r="5241" spans="22:22">
      <c r="V5241" s="16"/>
    </row>
    <row r="5242" spans="22:22">
      <c r="V5242" s="16"/>
    </row>
    <row r="5243" spans="22:22">
      <c r="V5243" s="16"/>
    </row>
    <row r="5244" spans="22:22">
      <c r="V5244" s="16"/>
    </row>
    <row r="5245" spans="22:22">
      <c r="V5245" s="16"/>
    </row>
    <row r="5246" spans="22:22">
      <c r="V5246" s="16"/>
    </row>
    <row r="5247" spans="22:22">
      <c r="V5247" s="16"/>
    </row>
    <row r="5248" spans="22:22">
      <c r="V5248" s="16"/>
    </row>
    <row r="5249" spans="22:22">
      <c r="V5249" s="16"/>
    </row>
    <row r="5250" spans="22:22">
      <c r="V5250" s="16"/>
    </row>
    <row r="5251" spans="22:22">
      <c r="V5251" s="16"/>
    </row>
    <row r="5252" spans="22:22">
      <c r="V5252" s="16"/>
    </row>
    <row r="5253" spans="22:22">
      <c r="V5253" s="16"/>
    </row>
    <row r="5254" spans="22:22">
      <c r="V5254" s="16"/>
    </row>
    <row r="5255" spans="22:22">
      <c r="V5255" s="16"/>
    </row>
    <row r="5256" spans="22:22">
      <c r="V5256" s="16"/>
    </row>
    <row r="5257" spans="22:22">
      <c r="V5257" s="16"/>
    </row>
    <row r="5258" spans="22:22">
      <c r="V5258" s="16"/>
    </row>
    <row r="5259" spans="22:22">
      <c r="V5259" s="16"/>
    </row>
    <row r="5260" spans="22:22">
      <c r="V5260" s="16"/>
    </row>
    <row r="5261" spans="22:22">
      <c r="V5261" s="16"/>
    </row>
    <row r="5262" spans="22:22">
      <c r="V5262" s="16"/>
    </row>
    <row r="5263" spans="22:22">
      <c r="V5263" s="16"/>
    </row>
    <row r="5264" spans="22:22">
      <c r="V5264" s="16"/>
    </row>
    <row r="5265" spans="22:22">
      <c r="V5265" s="16"/>
    </row>
    <row r="5266" spans="22:22">
      <c r="V5266" s="16"/>
    </row>
    <row r="5267" spans="22:22">
      <c r="V5267" s="16"/>
    </row>
    <row r="5268" spans="22:22">
      <c r="V5268" s="16"/>
    </row>
    <row r="5269" spans="22:22">
      <c r="V5269" s="16"/>
    </row>
    <row r="5270" spans="22:22">
      <c r="V5270" s="16"/>
    </row>
    <row r="5271" spans="22:22">
      <c r="V5271" s="16"/>
    </row>
    <row r="5272" spans="22:22">
      <c r="V5272" s="16"/>
    </row>
    <row r="5273" spans="22:22">
      <c r="V5273" s="16"/>
    </row>
    <row r="5274" spans="22:22">
      <c r="V5274" s="16"/>
    </row>
    <row r="5275" spans="22:22">
      <c r="V5275" s="16"/>
    </row>
    <row r="5276" spans="22:22">
      <c r="V5276" s="16"/>
    </row>
    <row r="5277" spans="22:22">
      <c r="V5277" s="16"/>
    </row>
    <row r="5278" spans="22:22">
      <c r="V5278" s="16"/>
    </row>
    <row r="5279" spans="22:22">
      <c r="V5279" s="16"/>
    </row>
    <row r="5280" spans="22:22">
      <c r="V5280" s="16"/>
    </row>
    <row r="5281" spans="22:22">
      <c r="V5281" s="16"/>
    </row>
    <row r="5282" spans="22:22">
      <c r="V5282" s="16"/>
    </row>
    <row r="5283" spans="22:22">
      <c r="V5283" s="16"/>
    </row>
    <row r="5284" spans="22:22">
      <c r="V5284" s="16"/>
    </row>
    <row r="5285" spans="22:22">
      <c r="V5285" s="16"/>
    </row>
    <row r="5286" spans="22:22">
      <c r="V5286" s="16"/>
    </row>
    <row r="5287" spans="22:22">
      <c r="V5287" s="16"/>
    </row>
    <row r="5288" spans="22:22">
      <c r="V5288" s="16"/>
    </row>
    <row r="5289" spans="22:22">
      <c r="V5289" s="16"/>
    </row>
    <row r="5290" spans="22:22">
      <c r="V5290" s="16"/>
    </row>
    <row r="5291" spans="22:22">
      <c r="V5291" s="16"/>
    </row>
    <row r="5292" spans="22:22">
      <c r="V5292" s="16"/>
    </row>
    <row r="5293" spans="22:22">
      <c r="V5293" s="16"/>
    </row>
    <row r="5294" spans="22:22">
      <c r="V5294" s="16"/>
    </row>
    <row r="5295" spans="22:22">
      <c r="V5295" s="16"/>
    </row>
    <row r="5296" spans="22:22">
      <c r="V5296" s="16"/>
    </row>
    <row r="5297" spans="22:22">
      <c r="V5297" s="16"/>
    </row>
    <row r="5298" spans="22:22">
      <c r="V5298" s="16"/>
    </row>
    <row r="5299" spans="22:22">
      <c r="V5299" s="16"/>
    </row>
    <row r="5300" spans="22:22">
      <c r="V5300" s="16"/>
    </row>
    <row r="5301" spans="22:22">
      <c r="V5301" s="16"/>
    </row>
    <row r="5302" spans="22:22">
      <c r="V5302" s="16"/>
    </row>
    <row r="5303" spans="22:22">
      <c r="V5303" s="16"/>
    </row>
    <row r="5304" spans="22:22">
      <c r="V5304" s="16"/>
    </row>
    <row r="5305" spans="22:22">
      <c r="V5305" s="16"/>
    </row>
    <row r="5306" spans="22:22">
      <c r="V5306" s="16"/>
    </row>
    <row r="5307" spans="22:22">
      <c r="V5307" s="16"/>
    </row>
    <row r="5308" spans="22:22">
      <c r="V5308" s="16"/>
    </row>
    <row r="5309" spans="22:22">
      <c r="V5309" s="16"/>
    </row>
    <row r="5310" spans="22:22">
      <c r="V5310" s="16"/>
    </row>
    <row r="5311" spans="22:22">
      <c r="V5311" s="16"/>
    </row>
    <row r="5312" spans="22:22">
      <c r="V5312" s="16"/>
    </row>
    <row r="5313" spans="22:22">
      <c r="V5313" s="16"/>
    </row>
    <row r="5314" spans="22:22">
      <c r="V5314" s="16"/>
    </row>
    <row r="5315" spans="22:22">
      <c r="V5315" s="16"/>
    </row>
    <row r="5316" spans="22:22">
      <c r="V5316" s="16"/>
    </row>
    <row r="5317" spans="22:22">
      <c r="V5317" s="16"/>
    </row>
    <row r="5318" spans="22:22">
      <c r="V5318" s="16"/>
    </row>
    <row r="5319" spans="22:22">
      <c r="V5319" s="16"/>
    </row>
    <row r="5320" spans="22:22">
      <c r="V5320" s="16"/>
    </row>
    <row r="5321" spans="22:22">
      <c r="V5321" s="16"/>
    </row>
    <row r="5322" spans="22:22">
      <c r="V5322" s="16"/>
    </row>
    <row r="5323" spans="22:22">
      <c r="V5323" s="16"/>
    </row>
    <row r="5324" spans="22:22">
      <c r="V5324" s="16"/>
    </row>
    <row r="5325" spans="22:22">
      <c r="V5325" s="16"/>
    </row>
    <row r="5326" spans="22:22">
      <c r="V5326" s="16"/>
    </row>
    <row r="5327" spans="22:22">
      <c r="V5327" s="16"/>
    </row>
    <row r="5328" spans="22:22">
      <c r="V5328" s="16"/>
    </row>
    <row r="5329" spans="22:22">
      <c r="V5329" s="16"/>
    </row>
    <row r="5330" spans="22:22">
      <c r="V5330" s="16"/>
    </row>
    <row r="5331" spans="22:22">
      <c r="V5331" s="16"/>
    </row>
    <row r="5332" spans="22:22">
      <c r="V5332" s="16"/>
    </row>
    <row r="5333" spans="22:22">
      <c r="V5333" s="16"/>
    </row>
    <row r="5334" spans="22:22">
      <c r="V5334" s="16"/>
    </row>
    <row r="5335" spans="22:22">
      <c r="V5335" s="16"/>
    </row>
    <row r="5336" spans="22:22">
      <c r="V5336" s="16"/>
    </row>
    <row r="5337" spans="22:22">
      <c r="V5337" s="16"/>
    </row>
    <row r="5338" spans="22:22">
      <c r="V5338" s="16"/>
    </row>
    <row r="5339" spans="22:22">
      <c r="V5339" s="16"/>
    </row>
    <row r="5340" spans="22:22">
      <c r="V5340" s="16"/>
    </row>
    <row r="5341" spans="22:22">
      <c r="V5341" s="16"/>
    </row>
    <row r="5342" spans="22:22">
      <c r="V5342" s="16"/>
    </row>
    <row r="5343" spans="22:22">
      <c r="V5343" s="16"/>
    </row>
    <row r="5344" spans="22:22">
      <c r="V5344" s="16"/>
    </row>
    <row r="5345" spans="22:22">
      <c r="V5345" s="16"/>
    </row>
    <row r="5346" spans="22:22">
      <c r="V5346" s="16"/>
    </row>
    <row r="5347" spans="22:22">
      <c r="V5347" s="16"/>
    </row>
    <row r="5348" spans="22:22">
      <c r="V5348" s="16"/>
    </row>
    <row r="5349" spans="22:22">
      <c r="V5349" s="16"/>
    </row>
    <row r="5350" spans="22:22">
      <c r="V5350" s="16"/>
    </row>
    <row r="5351" spans="22:22">
      <c r="V5351" s="16"/>
    </row>
    <row r="5352" spans="22:22">
      <c r="V5352" s="16"/>
    </row>
    <row r="5353" spans="22:22">
      <c r="V5353" s="16"/>
    </row>
    <row r="5354" spans="22:22">
      <c r="V5354" s="16"/>
    </row>
    <row r="5355" spans="22:22">
      <c r="V5355" s="16"/>
    </row>
    <row r="5356" spans="22:22">
      <c r="V5356" s="16"/>
    </row>
    <row r="5357" spans="22:22">
      <c r="V5357" s="16"/>
    </row>
    <row r="5358" spans="22:22">
      <c r="V5358" s="16"/>
    </row>
    <row r="5359" spans="22:22">
      <c r="V5359" s="16"/>
    </row>
    <row r="5360" spans="22:22">
      <c r="V5360" s="16"/>
    </row>
    <row r="5361" spans="22:22">
      <c r="V5361" s="16"/>
    </row>
    <row r="5362" spans="22:22">
      <c r="V5362" s="16"/>
    </row>
    <row r="5363" spans="22:22">
      <c r="V5363" s="16"/>
    </row>
    <row r="5364" spans="22:22">
      <c r="V5364" s="16"/>
    </row>
    <row r="5365" spans="22:22">
      <c r="V5365" s="16"/>
    </row>
    <row r="5366" spans="22:22">
      <c r="V5366" s="16"/>
    </row>
    <row r="5367" spans="22:22">
      <c r="V5367" s="16"/>
    </row>
    <row r="5368" spans="22:22">
      <c r="V5368" s="16"/>
    </row>
    <row r="5369" spans="22:22">
      <c r="V5369" s="16"/>
    </row>
    <row r="5370" spans="22:22">
      <c r="V5370" s="16"/>
    </row>
    <row r="5371" spans="22:22">
      <c r="V5371" s="16"/>
    </row>
    <row r="5372" spans="22:22">
      <c r="V5372" s="16"/>
    </row>
    <row r="5373" spans="22:22">
      <c r="V5373" s="16"/>
    </row>
    <row r="5374" spans="22:22">
      <c r="V5374" s="16"/>
    </row>
    <row r="5375" spans="22:22">
      <c r="V5375" s="16"/>
    </row>
    <row r="5376" spans="22:22">
      <c r="V5376" s="16"/>
    </row>
    <row r="5377" spans="22:22">
      <c r="V5377" s="16"/>
    </row>
    <row r="5378" spans="22:22">
      <c r="V5378" s="16"/>
    </row>
    <row r="5379" spans="22:22">
      <c r="V5379" s="16"/>
    </row>
    <row r="5380" spans="22:22">
      <c r="V5380" s="16"/>
    </row>
    <row r="5381" spans="22:22">
      <c r="V5381" s="16"/>
    </row>
    <row r="5382" spans="22:22">
      <c r="V5382" s="16"/>
    </row>
    <row r="5383" spans="22:22">
      <c r="V5383" s="16"/>
    </row>
    <row r="5384" spans="22:22">
      <c r="V5384" s="16"/>
    </row>
    <row r="5385" spans="22:22">
      <c r="V5385" s="16"/>
    </row>
    <row r="5386" spans="22:22">
      <c r="V5386" s="16"/>
    </row>
    <row r="5387" spans="22:22">
      <c r="V5387" s="16"/>
    </row>
    <row r="5388" spans="22:22">
      <c r="V5388" s="16"/>
    </row>
    <row r="5389" spans="22:22">
      <c r="V5389" s="16"/>
    </row>
    <row r="5390" spans="22:22">
      <c r="V5390" s="16"/>
    </row>
    <row r="5391" spans="22:22">
      <c r="V5391" s="16"/>
    </row>
    <row r="5392" spans="22:22">
      <c r="V5392" s="16"/>
    </row>
    <row r="5393" spans="22:22">
      <c r="V5393" s="16"/>
    </row>
    <row r="5394" spans="22:22">
      <c r="V5394" s="16"/>
    </row>
    <row r="5395" spans="22:22">
      <c r="V5395" s="16"/>
    </row>
    <row r="5396" spans="22:22">
      <c r="V5396" s="16"/>
    </row>
    <row r="5397" spans="22:22">
      <c r="V5397" s="16"/>
    </row>
    <row r="5398" spans="22:22">
      <c r="V5398" s="16"/>
    </row>
    <row r="5399" spans="22:22">
      <c r="V5399" s="16"/>
    </row>
    <row r="5400" spans="22:22">
      <c r="V5400" s="16"/>
    </row>
    <row r="5401" spans="22:22">
      <c r="V5401" s="16"/>
    </row>
    <row r="5402" spans="22:22">
      <c r="V5402" s="16"/>
    </row>
    <row r="5403" spans="22:22">
      <c r="V5403" s="16"/>
    </row>
    <row r="5404" spans="22:22">
      <c r="V5404" s="16"/>
    </row>
    <row r="5405" spans="22:22">
      <c r="V5405" s="16"/>
    </row>
    <row r="5406" spans="22:22">
      <c r="V5406" s="16"/>
    </row>
    <row r="5407" spans="22:22">
      <c r="V5407" s="16"/>
    </row>
    <row r="5408" spans="22:22">
      <c r="V5408" s="16"/>
    </row>
    <row r="5409" spans="22:22">
      <c r="V5409" s="16"/>
    </row>
    <row r="5410" spans="22:22">
      <c r="V5410" s="16"/>
    </row>
    <row r="5411" spans="22:22">
      <c r="V5411" s="16"/>
    </row>
    <row r="5412" spans="22:22">
      <c r="V5412" s="16"/>
    </row>
    <row r="5413" spans="22:22">
      <c r="V5413" s="16"/>
    </row>
    <row r="5414" spans="22:22">
      <c r="V5414" s="16"/>
    </row>
    <row r="5415" spans="22:22">
      <c r="V5415" s="16"/>
    </row>
    <row r="5416" spans="22:22">
      <c r="V5416" s="16"/>
    </row>
    <row r="5417" spans="22:22">
      <c r="V5417" s="16"/>
    </row>
    <row r="5418" spans="22:22">
      <c r="V5418" s="16"/>
    </row>
    <row r="5419" spans="22:22">
      <c r="V5419" s="16"/>
    </row>
    <row r="5420" spans="22:22">
      <c r="V5420" s="16"/>
    </row>
    <row r="5421" spans="22:22">
      <c r="V5421" s="16"/>
    </row>
    <row r="5422" spans="22:22">
      <c r="V5422" s="16"/>
    </row>
    <row r="5423" spans="22:22">
      <c r="V5423" s="16"/>
    </row>
    <row r="5424" spans="22:22">
      <c r="V5424" s="16"/>
    </row>
    <row r="5425" spans="22:22">
      <c r="V5425" s="16"/>
    </row>
    <row r="5426" spans="22:22">
      <c r="V5426" s="16"/>
    </row>
    <row r="5427" spans="22:22">
      <c r="V5427" s="16"/>
    </row>
    <row r="5428" spans="22:22">
      <c r="V5428" s="16"/>
    </row>
    <row r="5429" spans="22:22">
      <c r="V5429" s="16"/>
    </row>
    <row r="5430" spans="22:22">
      <c r="V5430" s="16"/>
    </row>
    <row r="5431" spans="22:22">
      <c r="V5431" s="16"/>
    </row>
    <row r="5432" spans="22:22">
      <c r="V5432" s="16"/>
    </row>
    <row r="5433" spans="22:22">
      <c r="V5433" s="16"/>
    </row>
    <row r="5434" spans="22:22">
      <c r="V5434" s="16"/>
    </row>
    <row r="5435" spans="22:22">
      <c r="V5435" s="16"/>
    </row>
    <row r="5436" spans="22:22">
      <c r="V5436" s="16"/>
    </row>
    <row r="5437" spans="22:22">
      <c r="V5437" s="16"/>
    </row>
    <row r="5438" spans="22:22">
      <c r="V5438" s="16"/>
    </row>
    <row r="5439" spans="22:22">
      <c r="V5439" s="16"/>
    </row>
    <row r="5440" spans="22:22">
      <c r="V5440" s="16"/>
    </row>
    <row r="5441" spans="22:22">
      <c r="V5441" s="16"/>
    </row>
    <row r="5442" spans="22:22">
      <c r="V5442" s="16"/>
    </row>
    <row r="5443" spans="22:22">
      <c r="V5443" s="16"/>
    </row>
    <row r="5444" spans="22:22">
      <c r="V5444" s="16"/>
    </row>
    <row r="5445" spans="22:22">
      <c r="V5445" s="16"/>
    </row>
    <row r="5446" spans="22:22">
      <c r="V5446" s="16"/>
    </row>
    <row r="5447" spans="22:22">
      <c r="V5447" s="16"/>
    </row>
    <row r="5448" spans="22:22">
      <c r="V5448" s="16"/>
    </row>
    <row r="5449" spans="22:22">
      <c r="V5449" s="16"/>
    </row>
    <row r="5450" spans="22:22">
      <c r="V5450" s="16"/>
    </row>
    <row r="5451" spans="22:22">
      <c r="V5451" s="16"/>
    </row>
    <row r="5452" spans="22:22">
      <c r="V5452" s="16"/>
    </row>
    <row r="5453" spans="22:22">
      <c r="V5453" s="16"/>
    </row>
    <row r="5454" spans="22:22">
      <c r="V5454" s="16"/>
    </row>
    <row r="5455" spans="22:22">
      <c r="V5455" s="16"/>
    </row>
    <row r="5456" spans="22:22">
      <c r="V5456" s="16"/>
    </row>
    <row r="5457" spans="22:22">
      <c r="V5457" s="16"/>
    </row>
    <row r="5458" spans="22:22">
      <c r="V5458" s="16"/>
    </row>
    <row r="5459" spans="22:22">
      <c r="V5459" s="16"/>
    </row>
    <row r="5460" spans="22:22">
      <c r="V5460" s="16"/>
    </row>
    <row r="5461" spans="22:22">
      <c r="V5461" s="16"/>
    </row>
    <row r="5462" spans="22:22">
      <c r="V5462" s="16"/>
    </row>
    <row r="5463" spans="22:22">
      <c r="V5463" s="16"/>
    </row>
    <row r="5464" spans="22:22">
      <c r="V5464" s="16"/>
    </row>
    <row r="5465" spans="22:22">
      <c r="V5465" s="16"/>
    </row>
    <row r="5466" spans="22:22">
      <c r="V5466" s="16"/>
    </row>
    <row r="5467" spans="22:22">
      <c r="V5467" s="16"/>
    </row>
    <row r="5468" spans="22:22">
      <c r="V5468" s="16"/>
    </row>
    <row r="5469" spans="22:22">
      <c r="V5469" s="16"/>
    </row>
    <row r="5470" spans="22:22">
      <c r="V5470" s="16"/>
    </row>
    <row r="5471" spans="22:22">
      <c r="V5471" s="16"/>
    </row>
    <row r="5472" spans="22:22">
      <c r="V5472" s="16"/>
    </row>
    <row r="5473" spans="22:22">
      <c r="V5473" s="16"/>
    </row>
    <row r="5474" spans="22:22">
      <c r="V5474" s="16"/>
    </row>
    <row r="5475" spans="22:22">
      <c r="V5475" s="16"/>
    </row>
    <row r="5476" spans="22:22">
      <c r="V5476" s="16"/>
    </row>
    <row r="5477" spans="22:22">
      <c r="V5477" s="16"/>
    </row>
    <row r="5478" spans="22:22">
      <c r="V5478" s="16"/>
    </row>
    <row r="5479" spans="22:22">
      <c r="V5479" s="16"/>
    </row>
    <row r="5480" spans="22:22">
      <c r="V5480" s="16"/>
    </row>
    <row r="5481" spans="22:22">
      <c r="V5481" s="16"/>
    </row>
    <row r="5482" spans="22:22">
      <c r="V5482" s="16"/>
    </row>
    <row r="5483" spans="22:22">
      <c r="V5483" s="16"/>
    </row>
    <row r="5484" spans="22:22">
      <c r="V5484" s="16"/>
    </row>
    <row r="5485" spans="22:22">
      <c r="V5485" s="16"/>
    </row>
    <row r="5486" spans="22:22">
      <c r="V5486" s="16"/>
    </row>
    <row r="5487" spans="22:22">
      <c r="V5487" s="16"/>
    </row>
    <row r="5488" spans="22:22">
      <c r="V5488" s="16"/>
    </row>
    <row r="5489" spans="22:22">
      <c r="V5489" s="16"/>
    </row>
    <row r="5490" spans="22:22">
      <c r="V5490" s="16"/>
    </row>
    <row r="5491" spans="22:22">
      <c r="V5491" s="16"/>
    </row>
    <row r="5492" spans="22:22">
      <c r="V5492" s="16"/>
    </row>
    <row r="5493" spans="22:22">
      <c r="V5493" s="16"/>
    </row>
    <row r="5494" spans="22:22">
      <c r="V5494" s="16"/>
    </row>
    <row r="5495" spans="22:22">
      <c r="V5495" s="16"/>
    </row>
    <row r="5496" spans="22:22">
      <c r="V5496" s="16"/>
    </row>
    <row r="5497" spans="22:22">
      <c r="V5497" s="16"/>
    </row>
    <row r="5498" spans="22:22">
      <c r="V5498" s="16"/>
    </row>
    <row r="5499" spans="22:22">
      <c r="V5499" s="16"/>
    </row>
    <row r="5500" spans="22:22">
      <c r="V5500" s="16"/>
    </row>
    <row r="5501" spans="22:22">
      <c r="V5501" s="16"/>
    </row>
    <row r="5502" spans="22:22">
      <c r="V5502" s="16"/>
    </row>
    <row r="5503" spans="22:22">
      <c r="V5503" s="16"/>
    </row>
    <row r="5504" spans="22:22">
      <c r="V5504" s="16"/>
    </row>
    <row r="5505" spans="22:22">
      <c r="V5505" s="16"/>
    </row>
    <row r="5506" spans="22:22">
      <c r="V5506" s="16"/>
    </row>
    <row r="5507" spans="22:22">
      <c r="V5507" s="16"/>
    </row>
    <row r="5508" spans="22:22">
      <c r="V5508" s="16"/>
    </row>
    <row r="5509" spans="22:22">
      <c r="V5509" s="16"/>
    </row>
    <row r="5510" spans="22:22">
      <c r="V5510" s="16"/>
    </row>
    <row r="5511" spans="22:22">
      <c r="V5511" s="16"/>
    </row>
    <row r="5512" spans="22:22">
      <c r="V5512" s="16"/>
    </row>
    <row r="5513" spans="22:22">
      <c r="V5513" s="16"/>
    </row>
    <row r="5514" spans="22:22">
      <c r="V5514" s="16"/>
    </row>
    <row r="5515" spans="22:22">
      <c r="V5515" s="16"/>
    </row>
    <row r="5516" spans="22:22">
      <c r="V5516" s="16"/>
    </row>
    <row r="5517" spans="22:22">
      <c r="V5517" s="16"/>
    </row>
    <row r="5518" spans="22:22">
      <c r="V5518" s="16"/>
    </row>
    <row r="5519" spans="22:22">
      <c r="V5519" s="16"/>
    </row>
    <row r="5520" spans="22:22">
      <c r="V5520" s="16"/>
    </row>
    <row r="5521" spans="22:22">
      <c r="V5521" s="16"/>
    </row>
    <row r="5522" spans="22:22">
      <c r="V5522" s="16"/>
    </row>
    <row r="5523" spans="22:22">
      <c r="V5523" s="16"/>
    </row>
    <row r="5524" spans="22:22">
      <c r="V5524" s="16"/>
    </row>
    <row r="5525" spans="22:22">
      <c r="V5525" s="16"/>
    </row>
    <row r="5526" spans="22:22">
      <c r="V5526" s="16"/>
    </row>
    <row r="5527" spans="22:22">
      <c r="V5527" s="16"/>
    </row>
    <row r="5528" spans="22:22">
      <c r="V5528" s="16"/>
    </row>
    <row r="5529" spans="22:22">
      <c r="V5529" s="16"/>
    </row>
    <row r="5530" spans="22:22">
      <c r="V5530" s="16"/>
    </row>
    <row r="5531" spans="22:22">
      <c r="V5531" s="16"/>
    </row>
    <row r="5532" spans="22:22">
      <c r="V5532" s="16"/>
    </row>
    <row r="5533" spans="22:22">
      <c r="V5533" s="16"/>
    </row>
    <row r="5534" spans="22:22">
      <c r="V5534" s="16"/>
    </row>
    <row r="5535" spans="22:22">
      <c r="V5535" s="16"/>
    </row>
    <row r="5536" spans="22:22">
      <c r="V5536" s="16"/>
    </row>
    <row r="5537" spans="22:22">
      <c r="V5537" s="16"/>
    </row>
    <row r="5538" spans="22:22">
      <c r="V5538" s="16"/>
    </row>
    <row r="5539" spans="22:22">
      <c r="V5539" s="16"/>
    </row>
    <row r="5540" spans="22:22">
      <c r="V5540" s="16"/>
    </row>
    <row r="5541" spans="22:22">
      <c r="V5541" s="16"/>
    </row>
    <row r="5542" spans="22:22">
      <c r="V5542" s="16"/>
    </row>
    <row r="5543" spans="22:22">
      <c r="V5543" s="16"/>
    </row>
    <row r="5544" spans="22:22">
      <c r="V5544" s="16"/>
    </row>
    <row r="5545" spans="22:22">
      <c r="V5545" s="16"/>
    </row>
    <row r="5546" spans="22:22">
      <c r="V5546" s="16"/>
    </row>
    <row r="5547" spans="22:22">
      <c r="V5547" s="16"/>
    </row>
    <row r="5548" spans="22:22">
      <c r="V5548" s="16"/>
    </row>
    <row r="5549" spans="22:22">
      <c r="V5549" s="16"/>
    </row>
    <row r="5550" spans="22:22">
      <c r="V5550" s="16"/>
    </row>
    <row r="5551" spans="22:22">
      <c r="V5551" s="16"/>
    </row>
    <row r="5552" spans="22:22">
      <c r="V5552" s="16"/>
    </row>
    <row r="5553" spans="22:22">
      <c r="V5553" s="16"/>
    </row>
    <row r="5554" spans="22:22">
      <c r="V5554" s="16"/>
    </row>
    <row r="5555" spans="22:22">
      <c r="V5555" s="16"/>
    </row>
    <row r="5556" spans="22:22">
      <c r="V5556" s="16"/>
    </row>
    <row r="5557" spans="22:22">
      <c r="V5557" s="16"/>
    </row>
    <row r="5558" spans="22:22">
      <c r="V5558" s="16"/>
    </row>
    <row r="5559" spans="22:22">
      <c r="V5559" s="16"/>
    </row>
    <row r="5560" spans="22:22">
      <c r="V5560" s="16"/>
    </row>
    <row r="5561" spans="22:22">
      <c r="V5561" s="16"/>
    </row>
    <row r="5562" spans="22:22">
      <c r="V5562" s="16"/>
    </row>
    <row r="5563" spans="22:22">
      <c r="V5563" s="16"/>
    </row>
    <row r="5564" spans="22:22">
      <c r="V5564" s="16"/>
    </row>
    <row r="5565" spans="22:22">
      <c r="V5565" s="16"/>
    </row>
    <row r="5566" spans="22:22">
      <c r="V5566" s="16"/>
    </row>
    <row r="5567" spans="22:22">
      <c r="V5567" s="16"/>
    </row>
    <row r="5568" spans="22:22">
      <c r="V5568" s="16"/>
    </row>
    <row r="5569" spans="22:22">
      <c r="V5569" s="16"/>
    </row>
    <row r="5570" spans="22:22">
      <c r="V5570" s="16"/>
    </row>
    <row r="5571" spans="22:22">
      <c r="V5571" s="16"/>
    </row>
    <row r="5572" spans="22:22">
      <c r="V5572" s="16"/>
    </row>
    <row r="5573" spans="22:22">
      <c r="V5573" s="16"/>
    </row>
    <row r="5574" spans="22:22">
      <c r="V5574" s="16"/>
    </row>
    <row r="5575" spans="22:22">
      <c r="V5575" s="16"/>
    </row>
    <row r="5576" spans="22:22">
      <c r="V5576" s="16"/>
    </row>
    <row r="5577" spans="22:22">
      <c r="V5577" s="16"/>
    </row>
    <row r="5578" spans="22:22">
      <c r="V5578" s="16"/>
    </row>
    <row r="5579" spans="22:22">
      <c r="V5579" s="16"/>
    </row>
    <row r="5580" spans="22:22">
      <c r="V5580" s="16"/>
    </row>
    <row r="5581" spans="22:22">
      <c r="V5581" s="16"/>
    </row>
    <row r="5582" spans="22:22">
      <c r="V5582" s="16"/>
    </row>
    <row r="5583" spans="22:22">
      <c r="V5583" s="16"/>
    </row>
    <row r="5584" spans="22:22">
      <c r="V5584" s="16"/>
    </row>
    <row r="5585" spans="22:22">
      <c r="V5585" s="16"/>
    </row>
    <row r="5586" spans="22:22">
      <c r="V5586" s="16"/>
    </row>
    <row r="5587" spans="22:22">
      <c r="V5587" s="16"/>
    </row>
    <row r="5588" spans="22:22">
      <c r="V5588" s="16"/>
    </row>
    <row r="5589" spans="22:22">
      <c r="V5589" s="16"/>
    </row>
    <row r="5590" spans="22:22">
      <c r="V5590" s="16"/>
    </row>
    <row r="5591" spans="22:22">
      <c r="V5591" s="16"/>
    </row>
    <row r="5592" spans="22:22">
      <c r="V5592" s="16"/>
    </row>
    <row r="5593" spans="22:22">
      <c r="V5593" s="16"/>
    </row>
    <row r="5594" spans="22:22">
      <c r="V5594" s="16"/>
    </row>
    <row r="5595" spans="22:22">
      <c r="V5595" s="16"/>
    </row>
    <row r="5596" spans="22:22">
      <c r="V5596" s="16"/>
    </row>
    <row r="5597" spans="22:22">
      <c r="V5597" s="16"/>
    </row>
    <row r="5598" spans="22:22">
      <c r="V5598" s="16"/>
    </row>
    <row r="5599" spans="22:22">
      <c r="V5599" s="16"/>
    </row>
    <row r="5600" spans="22:22">
      <c r="V5600" s="16"/>
    </row>
    <row r="5601" spans="22:22">
      <c r="V5601" s="16"/>
    </row>
    <row r="5602" spans="22:22">
      <c r="V5602" s="16"/>
    </row>
    <row r="5603" spans="22:22">
      <c r="V5603" s="16"/>
    </row>
    <row r="5604" spans="22:22">
      <c r="V5604" s="16"/>
    </row>
    <row r="5605" spans="22:22">
      <c r="V5605" s="16"/>
    </row>
    <row r="5606" spans="22:22">
      <c r="V5606" s="16"/>
    </row>
    <row r="5607" spans="22:22">
      <c r="V5607" s="16"/>
    </row>
    <row r="5608" spans="22:22">
      <c r="V5608" s="16"/>
    </row>
    <row r="5609" spans="22:22">
      <c r="V5609" s="16"/>
    </row>
    <row r="5610" spans="22:22">
      <c r="V5610" s="16"/>
    </row>
    <row r="5611" spans="22:22">
      <c r="V5611" s="16"/>
    </row>
    <row r="5612" spans="22:22">
      <c r="V5612" s="16"/>
    </row>
    <row r="5613" spans="22:22">
      <c r="V5613" s="16"/>
    </row>
    <row r="5614" spans="22:22">
      <c r="V5614" s="16"/>
    </row>
    <row r="5615" spans="22:22">
      <c r="V5615" s="16"/>
    </row>
    <row r="5616" spans="22:22">
      <c r="V5616" s="16"/>
    </row>
    <row r="5617" spans="22:22">
      <c r="V5617" s="16"/>
    </row>
    <row r="5618" spans="22:22">
      <c r="V5618" s="16"/>
    </row>
    <row r="5619" spans="22:22">
      <c r="V5619" s="16"/>
    </row>
    <row r="5620" spans="22:22">
      <c r="V5620" s="16"/>
    </row>
    <row r="5621" spans="22:22">
      <c r="V5621" s="16"/>
    </row>
    <row r="5622" spans="22:22">
      <c r="V5622" s="16"/>
    </row>
    <row r="5623" spans="22:22">
      <c r="V5623" s="16"/>
    </row>
    <row r="5624" spans="22:22">
      <c r="V5624" s="16"/>
    </row>
    <row r="5625" spans="22:22">
      <c r="V5625" s="16"/>
    </row>
    <row r="5626" spans="22:22">
      <c r="V5626" s="16"/>
    </row>
    <row r="5627" spans="22:22">
      <c r="V5627" s="16"/>
    </row>
    <row r="5628" spans="22:22">
      <c r="V5628" s="16"/>
    </row>
    <row r="5629" spans="22:22">
      <c r="V5629" s="16"/>
    </row>
    <row r="5630" spans="22:22">
      <c r="V5630" s="16"/>
    </row>
    <row r="5631" spans="22:22">
      <c r="V5631" s="16"/>
    </row>
    <row r="5632" spans="22:22">
      <c r="V5632" s="16"/>
    </row>
    <row r="5633" spans="22:22">
      <c r="V5633" s="16"/>
    </row>
    <row r="5634" spans="22:22">
      <c r="V5634" s="16"/>
    </row>
    <row r="5635" spans="22:22">
      <c r="V5635" s="16"/>
    </row>
    <row r="5636" spans="22:22">
      <c r="V5636" s="16"/>
    </row>
    <row r="5637" spans="22:22">
      <c r="V5637" s="16"/>
    </row>
    <row r="5638" spans="22:22">
      <c r="V5638" s="16"/>
    </row>
    <row r="5639" spans="22:22">
      <c r="V5639" s="16"/>
    </row>
    <row r="5640" spans="22:22">
      <c r="V5640" s="16"/>
    </row>
    <row r="5641" spans="22:22">
      <c r="V5641" s="16"/>
    </row>
    <row r="5642" spans="22:22">
      <c r="V5642" s="16"/>
    </row>
    <row r="5643" spans="22:22">
      <c r="V5643" s="16"/>
    </row>
    <row r="5644" spans="22:22">
      <c r="V5644" s="16"/>
    </row>
    <row r="5645" spans="22:22">
      <c r="V5645" s="16"/>
    </row>
    <row r="5646" spans="22:22">
      <c r="V5646" s="16"/>
    </row>
    <row r="5647" spans="22:22">
      <c r="V5647" s="16"/>
    </row>
    <row r="5648" spans="22:22">
      <c r="V5648" s="16"/>
    </row>
    <row r="5649" spans="22:22">
      <c r="V5649" s="16"/>
    </row>
    <row r="5650" spans="22:22">
      <c r="V5650" s="16"/>
    </row>
    <row r="5651" spans="22:22">
      <c r="V5651" s="16"/>
    </row>
    <row r="5652" spans="22:22">
      <c r="V5652" s="16"/>
    </row>
    <row r="5653" spans="22:22">
      <c r="V5653" s="16"/>
    </row>
    <row r="5654" spans="22:22">
      <c r="V5654" s="16"/>
    </row>
    <row r="5655" spans="22:22">
      <c r="V5655" s="16"/>
    </row>
    <row r="5656" spans="22:22">
      <c r="V5656" s="16"/>
    </row>
    <row r="5657" spans="22:22">
      <c r="V5657" s="16"/>
    </row>
    <row r="5658" spans="22:22">
      <c r="V5658" s="16"/>
    </row>
    <row r="5659" spans="22:22">
      <c r="V5659" s="16"/>
    </row>
    <row r="5660" spans="22:22">
      <c r="V5660" s="16"/>
    </row>
    <row r="5661" spans="22:22">
      <c r="V5661" s="16"/>
    </row>
    <row r="5662" spans="22:22">
      <c r="V5662" s="16"/>
    </row>
    <row r="5663" spans="22:22">
      <c r="V5663" s="16"/>
    </row>
    <row r="5664" spans="22:22">
      <c r="V5664" s="16"/>
    </row>
    <row r="5665" spans="22:22">
      <c r="V5665" s="16"/>
    </row>
    <row r="5666" spans="22:22">
      <c r="V5666" s="16"/>
    </row>
    <row r="5667" spans="22:22">
      <c r="V5667" s="16"/>
    </row>
    <row r="5668" spans="22:22">
      <c r="V5668" s="16"/>
    </row>
    <row r="5669" spans="22:22">
      <c r="V5669" s="16"/>
    </row>
    <row r="5670" spans="22:22">
      <c r="V5670" s="16"/>
    </row>
    <row r="5671" spans="22:22">
      <c r="V5671" s="16"/>
    </row>
    <row r="5672" spans="22:22">
      <c r="V5672" s="16"/>
    </row>
    <row r="5673" spans="22:22">
      <c r="V5673" s="16"/>
    </row>
    <row r="5674" spans="22:22">
      <c r="V5674" s="16"/>
    </row>
    <row r="5675" spans="22:22">
      <c r="V5675" s="16"/>
    </row>
    <row r="5676" spans="22:22">
      <c r="V5676" s="16"/>
    </row>
    <row r="5677" spans="22:22">
      <c r="V5677" s="16"/>
    </row>
    <row r="5678" spans="22:22">
      <c r="V5678" s="16"/>
    </row>
    <row r="5679" spans="22:22">
      <c r="V5679" s="16"/>
    </row>
    <row r="5680" spans="22:22">
      <c r="V5680" s="16"/>
    </row>
    <row r="5681" spans="22:22">
      <c r="V5681" s="16"/>
    </row>
    <row r="5682" spans="22:22">
      <c r="V5682" s="16"/>
    </row>
    <row r="5683" spans="22:22">
      <c r="V5683" s="16"/>
    </row>
    <row r="5684" spans="22:22">
      <c r="V5684" s="16"/>
    </row>
    <row r="5685" spans="22:22">
      <c r="V5685" s="16"/>
    </row>
    <row r="5686" spans="22:22">
      <c r="V5686" s="16"/>
    </row>
    <row r="5687" spans="22:22">
      <c r="V5687" s="16"/>
    </row>
    <row r="5688" spans="22:22">
      <c r="V5688" s="16"/>
    </row>
    <row r="5689" spans="22:22">
      <c r="V5689" s="16"/>
    </row>
    <row r="5690" spans="22:22">
      <c r="V5690" s="16"/>
    </row>
    <row r="5691" spans="22:22">
      <c r="V5691" s="16"/>
    </row>
    <row r="5692" spans="22:22">
      <c r="V5692" s="16"/>
    </row>
    <row r="5693" spans="22:22">
      <c r="V5693" s="16"/>
    </row>
    <row r="5694" spans="22:22">
      <c r="V5694" s="16"/>
    </row>
    <row r="5695" spans="22:22">
      <c r="V5695" s="16"/>
    </row>
    <row r="5696" spans="22:22">
      <c r="V5696" s="16"/>
    </row>
    <row r="5697" spans="22:22">
      <c r="V5697" s="16"/>
    </row>
    <row r="5698" spans="22:22">
      <c r="V5698" s="16"/>
    </row>
    <row r="5699" spans="22:22">
      <c r="V5699" s="16"/>
    </row>
    <row r="5700" spans="22:22">
      <c r="V5700" s="16"/>
    </row>
    <row r="5701" spans="22:22">
      <c r="V5701" s="16"/>
    </row>
    <row r="5702" spans="22:22">
      <c r="V5702" s="16"/>
    </row>
    <row r="5703" spans="22:22">
      <c r="V5703" s="16"/>
    </row>
    <row r="5704" spans="22:22">
      <c r="V5704" s="16"/>
    </row>
    <row r="5705" spans="22:22">
      <c r="V5705" s="16"/>
    </row>
    <row r="5706" spans="22:22">
      <c r="V5706" s="16"/>
    </row>
    <row r="5707" spans="22:22">
      <c r="V5707" s="16"/>
    </row>
    <row r="5708" spans="22:22">
      <c r="V5708" s="16"/>
    </row>
    <row r="5709" spans="22:22">
      <c r="V5709" s="16"/>
    </row>
    <row r="5710" spans="22:22">
      <c r="V5710" s="16"/>
    </row>
    <row r="5711" spans="22:22">
      <c r="V5711" s="16"/>
    </row>
    <row r="5712" spans="22:22">
      <c r="V5712" s="16"/>
    </row>
    <row r="5713" spans="22:22">
      <c r="V5713" s="16"/>
    </row>
    <row r="5714" spans="22:22">
      <c r="V5714" s="16"/>
    </row>
    <row r="5715" spans="22:22">
      <c r="V5715" s="16"/>
    </row>
    <row r="5716" spans="22:22">
      <c r="V5716" s="16"/>
    </row>
    <row r="5717" spans="22:22">
      <c r="V5717" s="16"/>
    </row>
    <row r="5718" spans="22:22">
      <c r="V5718" s="16"/>
    </row>
    <row r="5719" spans="22:22">
      <c r="V5719" s="16"/>
    </row>
    <row r="5720" spans="22:22">
      <c r="V5720" s="16"/>
    </row>
    <row r="5721" spans="22:22">
      <c r="V5721" s="16"/>
    </row>
    <row r="5722" spans="22:22">
      <c r="V5722" s="16"/>
    </row>
    <row r="5723" spans="22:22">
      <c r="V5723" s="16"/>
    </row>
    <row r="5724" spans="22:22">
      <c r="V5724" s="16"/>
    </row>
    <row r="5725" spans="22:22">
      <c r="V5725" s="16"/>
    </row>
    <row r="5726" spans="22:22">
      <c r="V5726" s="16"/>
    </row>
    <row r="5727" spans="22:22">
      <c r="V5727" s="16"/>
    </row>
    <row r="5728" spans="22:22">
      <c r="V5728" s="16"/>
    </row>
    <row r="5729" spans="22:22">
      <c r="V5729" s="16"/>
    </row>
    <row r="5730" spans="22:22">
      <c r="V5730" s="16"/>
    </row>
    <row r="5731" spans="22:22">
      <c r="V5731" s="16"/>
    </row>
    <row r="5732" spans="22:22">
      <c r="V5732" s="16"/>
    </row>
    <row r="5733" spans="22:22">
      <c r="V5733" s="16"/>
    </row>
    <row r="5734" spans="22:22">
      <c r="V5734" s="16"/>
    </row>
    <row r="5735" spans="22:22">
      <c r="V5735" s="16"/>
    </row>
    <row r="5736" spans="22:22">
      <c r="V5736" s="16"/>
    </row>
    <row r="5737" spans="22:22">
      <c r="V5737" s="16"/>
    </row>
    <row r="5738" spans="22:22">
      <c r="V5738" s="16"/>
    </row>
    <row r="5739" spans="22:22">
      <c r="V5739" s="16"/>
    </row>
    <row r="5740" spans="22:22">
      <c r="V5740" s="16"/>
    </row>
    <row r="5741" spans="22:22">
      <c r="V5741" s="16"/>
    </row>
    <row r="5742" spans="22:22">
      <c r="V5742" s="16"/>
    </row>
    <row r="5743" spans="22:22">
      <c r="V5743" s="16"/>
    </row>
    <row r="5744" spans="22:22">
      <c r="V5744" s="16"/>
    </row>
    <row r="5745" spans="22:22">
      <c r="V5745" s="16"/>
    </row>
    <row r="5746" spans="22:22">
      <c r="V5746" s="16"/>
    </row>
    <row r="5747" spans="22:22">
      <c r="V5747" s="16"/>
    </row>
    <row r="5748" spans="22:22">
      <c r="V5748" s="16"/>
    </row>
    <row r="5749" spans="22:22">
      <c r="V5749" s="16"/>
    </row>
    <row r="5750" spans="22:22">
      <c r="V5750" s="16"/>
    </row>
    <row r="5751" spans="22:22">
      <c r="V5751" s="16"/>
    </row>
    <row r="5752" spans="22:22">
      <c r="V5752" s="16"/>
    </row>
    <row r="5753" spans="22:22">
      <c r="V5753" s="16"/>
    </row>
    <row r="5754" spans="22:22">
      <c r="V5754" s="16"/>
    </row>
    <row r="5755" spans="22:22">
      <c r="V5755" s="16"/>
    </row>
    <row r="5756" spans="22:22">
      <c r="V5756" s="16"/>
    </row>
    <row r="5757" spans="22:22">
      <c r="V5757" s="16"/>
    </row>
    <row r="5758" spans="22:22">
      <c r="V5758" s="16"/>
    </row>
    <row r="5759" spans="22:22">
      <c r="V5759" s="16"/>
    </row>
    <row r="5760" spans="22:22">
      <c r="V5760" s="16"/>
    </row>
    <row r="5761" spans="22:22">
      <c r="V5761" s="16"/>
    </row>
    <row r="5762" spans="22:22">
      <c r="V5762" s="16"/>
    </row>
    <row r="5763" spans="22:22">
      <c r="V5763" s="16"/>
    </row>
    <row r="5764" spans="22:22">
      <c r="V5764" s="16"/>
    </row>
    <row r="5765" spans="22:22">
      <c r="V5765" s="16"/>
    </row>
    <row r="5766" spans="22:22">
      <c r="V5766" s="16"/>
    </row>
    <row r="5767" spans="22:22">
      <c r="V5767" s="16"/>
    </row>
    <row r="5768" spans="22:22">
      <c r="V5768" s="16"/>
    </row>
    <row r="5769" spans="22:22">
      <c r="V5769" s="16"/>
    </row>
    <row r="5770" spans="22:22">
      <c r="V5770" s="16"/>
    </row>
    <row r="5771" spans="22:22">
      <c r="V5771" s="16"/>
    </row>
    <row r="5772" spans="22:22">
      <c r="V5772" s="16"/>
    </row>
    <row r="5773" spans="22:22">
      <c r="V5773" s="16"/>
    </row>
    <row r="5774" spans="22:22">
      <c r="V5774" s="16"/>
    </row>
    <row r="5775" spans="22:22">
      <c r="V5775" s="16"/>
    </row>
    <row r="5776" spans="22:22">
      <c r="V5776" s="16"/>
    </row>
    <row r="5777" spans="22:22">
      <c r="V5777" s="16"/>
    </row>
    <row r="5778" spans="22:22">
      <c r="V5778" s="16"/>
    </row>
    <row r="5779" spans="22:22">
      <c r="V5779" s="16"/>
    </row>
    <row r="5780" spans="22:22">
      <c r="V5780" s="16"/>
    </row>
    <row r="5781" spans="22:22">
      <c r="V5781" s="16"/>
    </row>
    <row r="5782" spans="22:22">
      <c r="V5782" s="16"/>
    </row>
    <row r="5783" spans="22:22">
      <c r="V5783" s="16"/>
    </row>
    <row r="5784" spans="22:22">
      <c r="V5784" s="16"/>
    </row>
    <row r="5785" spans="22:22">
      <c r="V5785" s="16"/>
    </row>
    <row r="5786" spans="22:22">
      <c r="V5786" s="16"/>
    </row>
    <row r="5787" spans="22:22">
      <c r="V5787" s="16"/>
    </row>
    <row r="5788" spans="22:22">
      <c r="V5788" s="16"/>
    </row>
    <row r="5789" spans="22:22">
      <c r="V5789" s="16"/>
    </row>
    <row r="5790" spans="22:22">
      <c r="V5790" s="16"/>
    </row>
    <row r="5791" spans="22:22">
      <c r="V5791" s="16"/>
    </row>
    <row r="5792" spans="22:22">
      <c r="V5792" s="16"/>
    </row>
    <row r="5793" spans="22:22">
      <c r="V5793" s="16"/>
    </row>
    <row r="5794" spans="22:22">
      <c r="V5794" s="16"/>
    </row>
    <row r="5795" spans="22:22">
      <c r="V5795" s="16"/>
    </row>
    <row r="5796" spans="22:22">
      <c r="V5796" s="16"/>
    </row>
    <row r="5797" spans="22:22">
      <c r="V5797" s="16"/>
    </row>
    <row r="5798" spans="22:22">
      <c r="V5798" s="16"/>
    </row>
    <row r="5799" spans="22:22">
      <c r="V5799" s="16"/>
    </row>
    <row r="5800" spans="22:22">
      <c r="V5800" s="16"/>
    </row>
    <row r="5801" spans="22:22">
      <c r="V5801" s="16"/>
    </row>
    <row r="5802" spans="22:22">
      <c r="V5802" s="16"/>
    </row>
    <row r="5803" spans="22:22">
      <c r="V5803" s="16"/>
    </row>
    <row r="5804" spans="22:22">
      <c r="V5804" s="16"/>
    </row>
    <row r="5805" spans="22:22">
      <c r="V5805" s="16"/>
    </row>
    <row r="5806" spans="22:22">
      <c r="V5806" s="16"/>
    </row>
    <row r="5807" spans="22:22">
      <c r="V5807" s="16"/>
    </row>
    <row r="5808" spans="22:22">
      <c r="V5808" s="16"/>
    </row>
    <row r="5809" spans="22:22">
      <c r="V5809" s="16"/>
    </row>
    <row r="5810" spans="22:22">
      <c r="V5810" s="16"/>
    </row>
    <row r="5811" spans="22:22">
      <c r="V5811" s="16"/>
    </row>
    <row r="5812" spans="22:22">
      <c r="V5812" s="16"/>
    </row>
    <row r="5813" spans="22:22">
      <c r="V5813" s="16"/>
    </row>
    <row r="5814" spans="22:22">
      <c r="V5814" s="16"/>
    </row>
    <row r="5815" spans="22:22">
      <c r="V5815" s="16"/>
    </row>
    <row r="5816" spans="22:22">
      <c r="V5816" s="16"/>
    </row>
    <row r="5817" spans="22:22">
      <c r="V5817" s="16"/>
    </row>
    <row r="5818" spans="22:22">
      <c r="V5818" s="16"/>
    </row>
    <row r="5819" spans="22:22">
      <c r="V5819" s="16"/>
    </row>
    <row r="5820" spans="22:22">
      <c r="V5820" s="16"/>
    </row>
    <row r="5821" spans="22:22">
      <c r="V5821" s="16"/>
    </row>
    <row r="5822" spans="22:22">
      <c r="V5822" s="16"/>
    </row>
    <row r="5823" spans="22:22">
      <c r="V5823" s="16"/>
    </row>
    <row r="5824" spans="22:22">
      <c r="V5824" s="16"/>
    </row>
    <row r="5825" spans="22:22">
      <c r="V5825" s="16"/>
    </row>
    <row r="5826" spans="22:22">
      <c r="V5826" s="16"/>
    </row>
    <row r="5827" spans="22:22">
      <c r="V5827" s="16"/>
    </row>
    <row r="5828" spans="22:22">
      <c r="V5828" s="16"/>
    </row>
    <row r="5829" spans="22:22">
      <c r="V5829" s="16"/>
    </row>
    <row r="5830" spans="22:22">
      <c r="V5830" s="16"/>
    </row>
    <row r="5831" spans="22:22">
      <c r="V5831" s="16"/>
    </row>
    <row r="5832" spans="22:22">
      <c r="V5832" s="16"/>
    </row>
    <row r="5833" spans="22:22">
      <c r="V5833" s="16"/>
    </row>
    <row r="5834" spans="22:22">
      <c r="V5834" s="16"/>
    </row>
    <row r="5835" spans="22:22">
      <c r="V5835" s="16"/>
    </row>
    <row r="5836" spans="22:22">
      <c r="V5836" s="16"/>
    </row>
    <row r="5837" spans="22:22">
      <c r="V5837" s="16"/>
    </row>
    <row r="5838" spans="22:22">
      <c r="V5838" s="16"/>
    </row>
    <row r="5839" spans="22:22">
      <c r="V5839" s="16"/>
    </row>
    <row r="5840" spans="22:22">
      <c r="V5840" s="16"/>
    </row>
    <row r="5841" spans="22:22">
      <c r="V5841" s="16"/>
    </row>
    <row r="5842" spans="22:22">
      <c r="V5842" s="16"/>
    </row>
    <row r="5843" spans="22:22">
      <c r="V5843" s="16"/>
    </row>
    <row r="5844" spans="22:22">
      <c r="V5844" s="16"/>
    </row>
    <row r="5845" spans="22:22">
      <c r="V5845" s="16"/>
    </row>
    <row r="5846" spans="22:22">
      <c r="V5846" s="16"/>
    </row>
    <row r="5847" spans="22:22">
      <c r="V5847" s="16"/>
    </row>
    <row r="5848" spans="22:22">
      <c r="V5848" s="16"/>
    </row>
    <row r="5849" spans="22:22">
      <c r="V5849" s="16"/>
    </row>
    <row r="5850" spans="22:22">
      <c r="V5850" s="16"/>
    </row>
    <row r="5851" spans="22:22">
      <c r="V5851" s="16"/>
    </row>
    <row r="5852" spans="22:22">
      <c r="V5852" s="16"/>
    </row>
    <row r="5853" spans="22:22">
      <c r="V5853" s="16"/>
    </row>
    <row r="5854" spans="22:22">
      <c r="V5854" s="16"/>
    </row>
    <row r="5855" spans="22:22">
      <c r="V5855" s="16"/>
    </row>
    <row r="5856" spans="22:22">
      <c r="V5856" s="16"/>
    </row>
    <row r="5857" spans="22:22">
      <c r="V5857" s="16"/>
    </row>
    <row r="5858" spans="22:22">
      <c r="V5858" s="16"/>
    </row>
    <row r="5859" spans="22:22">
      <c r="V5859" s="16"/>
    </row>
    <row r="5860" spans="22:22">
      <c r="V5860" s="16"/>
    </row>
    <row r="5861" spans="22:22">
      <c r="V5861" s="16"/>
    </row>
    <row r="5862" spans="22:22">
      <c r="V5862" s="16"/>
    </row>
    <row r="5863" spans="22:22">
      <c r="V5863" s="16"/>
    </row>
    <row r="5864" spans="22:22">
      <c r="V5864" s="16"/>
    </row>
    <row r="5865" spans="22:22">
      <c r="V5865" s="16"/>
    </row>
    <row r="5866" spans="22:22">
      <c r="V5866" s="16"/>
    </row>
    <row r="5867" spans="22:22">
      <c r="V5867" s="16"/>
    </row>
    <row r="5868" spans="22:22">
      <c r="V5868" s="16"/>
    </row>
    <row r="5869" spans="22:22">
      <c r="V5869" s="16"/>
    </row>
    <row r="5870" spans="22:22">
      <c r="V5870" s="16"/>
    </row>
    <row r="5871" spans="22:22">
      <c r="V5871" s="16"/>
    </row>
    <row r="5872" spans="22:22">
      <c r="V5872" s="16"/>
    </row>
    <row r="5873" spans="22:22">
      <c r="V5873" s="16"/>
    </row>
    <row r="5874" spans="22:22">
      <c r="V5874" s="16"/>
    </row>
    <row r="5875" spans="22:22">
      <c r="V5875" s="16"/>
    </row>
    <row r="5876" spans="22:22">
      <c r="V5876" s="16"/>
    </row>
    <row r="5877" spans="22:22">
      <c r="V5877" s="16"/>
    </row>
    <row r="5878" spans="22:22">
      <c r="V5878" s="16"/>
    </row>
    <row r="5879" spans="22:22">
      <c r="V5879" s="16"/>
    </row>
    <row r="5880" spans="22:22">
      <c r="V5880" s="16"/>
    </row>
    <row r="5881" spans="22:22">
      <c r="V5881" s="16"/>
    </row>
    <row r="5882" spans="22:22">
      <c r="V5882" s="16"/>
    </row>
    <row r="5883" spans="22:22">
      <c r="V5883" s="16"/>
    </row>
    <row r="5884" spans="22:22">
      <c r="V5884" s="16"/>
    </row>
    <row r="5885" spans="22:22">
      <c r="V5885" s="16"/>
    </row>
    <row r="5886" spans="22:22">
      <c r="V5886" s="16"/>
    </row>
    <row r="5887" spans="22:22">
      <c r="V5887" s="16"/>
    </row>
    <row r="5888" spans="22:22">
      <c r="V5888" s="16"/>
    </row>
    <row r="5889" spans="22:22">
      <c r="V5889" s="16"/>
    </row>
    <row r="5890" spans="22:22">
      <c r="V5890" s="16"/>
    </row>
    <row r="5891" spans="22:22">
      <c r="V5891" s="16"/>
    </row>
    <row r="5892" spans="22:22">
      <c r="V5892" s="16"/>
    </row>
    <row r="5893" spans="22:22">
      <c r="V5893" s="16"/>
    </row>
    <row r="5894" spans="22:22">
      <c r="V5894" s="16"/>
    </row>
    <row r="5895" spans="22:22">
      <c r="V5895" s="16"/>
    </row>
    <row r="5896" spans="22:22">
      <c r="V5896" s="16"/>
    </row>
    <row r="5897" spans="22:22">
      <c r="V5897" s="16"/>
    </row>
    <row r="5898" spans="22:22">
      <c r="V5898" s="16"/>
    </row>
    <row r="5899" spans="22:22">
      <c r="V5899" s="16"/>
    </row>
    <row r="5900" spans="22:22">
      <c r="V5900" s="16"/>
    </row>
    <row r="5901" spans="22:22">
      <c r="V5901" s="16"/>
    </row>
    <row r="5902" spans="22:22">
      <c r="V5902" s="16"/>
    </row>
    <row r="5903" spans="22:22">
      <c r="V5903" s="16"/>
    </row>
    <row r="5904" spans="22:22">
      <c r="V5904" s="16"/>
    </row>
    <row r="5905" spans="22:22">
      <c r="V5905" s="16"/>
    </row>
    <row r="5906" spans="22:22">
      <c r="V5906" s="16"/>
    </row>
    <row r="5907" spans="22:22">
      <c r="V5907" s="16"/>
    </row>
    <row r="5908" spans="22:22">
      <c r="V5908" s="16"/>
    </row>
    <row r="5909" spans="22:22">
      <c r="V5909" s="16"/>
    </row>
    <row r="5910" spans="22:22">
      <c r="V5910" s="16"/>
    </row>
    <row r="5911" spans="22:22">
      <c r="V5911" s="16"/>
    </row>
    <row r="5912" spans="22:22">
      <c r="V5912" s="16"/>
    </row>
    <row r="5913" spans="22:22">
      <c r="V5913" s="16"/>
    </row>
    <row r="5914" spans="22:22">
      <c r="V5914" s="16"/>
    </row>
    <row r="5915" spans="22:22">
      <c r="V5915" s="16"/>
    </row>
    <row r="5916" spans="22:22">
      <c r="V5916" s="16"/>
    </row>
    <row r="5917" spans="22:22">
      <c r="V5917" s="16"/>
    </row>
    <row r="5918" spans="22:22">
      <c r="V5918" s="16"/>
    </row>
    <row r="5919" spans="22:22">
      <c r="V5919" s="16"/>
    </row>
    <row r="5920" spans="22:22">
      <c r="V5920" s="16"/>
    </row>
    <row r="5921" spans="22:22">
      <c r="V5921" s="16"/>
    </row>
    <row r="5922" spans="22:22">
      <c r="V5922" s="16"/>
    </row>
    <row r="5923" spans="22:22">
      <c r="V5923" s="16"/>
    </row>
    <row r="5924" spans="22:22">
      <c r="V5924" s="16"/>
    </row>
    <row r="5925" spans="22:22">
      <c r="V5925" s="16"/>
    </row>
    <row r="5926" spans="22:22">
      <c r="V5926" s="16"/>
    </row>
    <row r="5927" spans="22:22">
      <c r="V5927" s="16"/>
    </row>
    <row r="5928" spans="22:22">
      <c r="V5928" s="16"/>
    </row>
    <row r="5929" spans="22:22">
      <c r="V5929" s="16"/>
    </row>
    <row r="5930" spans="22:22">
      <c r="V5930" s="16"/>
    </row>
    <row r="5931" spans="22:22">
      <c r="V5931" s="16"/>
    </row>
    <row r="5932" spans="22:22">
      <c r="V5932" s="16"/>
    </row>
    <row r="5933" spans="22:22">
      <c r="V5933" s="16"/>
    </row>
    <row r="5934" spans="22:22">
      <c r="V5934" s="16"/>
    </row>
    <row r="5935" spans="22:22">
      <c r="V5935" s="16"/>
    </row>
    <row r="5936" spans="22:22">
      <c r="V5936" s="16"/>
    </row>
    <row r="5937" spans="22:22">
      <c r="V5937" s="16"/>
    </row>
    <row r="5938" spans="22:22">
      <c r="V5938" s="16"/>
    </row>
    <row r="5939" spans="22:22">
      <c r="V5939" s="16"/>
    </row>
    <row r="5940" spans="22:22">
      <c r="V5940" s="16"/>
    </row>
    <row r="5941" spans="22:22">
      <c r="V5941" s="16"/>
    </row>
    <row r="5942" spans="22:22">
      <c r="V5942" s="16"/>
    </row>
    <row r="5943" spans="22:22">
      <c r="V5943" s="16"/>
    </row>
    <row r="5944" spans="22:22">
      <c r="V5944" s="16"/>
    </row>
    <row r="5945" spans="22:22">
      <c r="V5945" s="16"/>
    </row>
    <row r="5946" spans="22:22">
      <c r="V5946" s="16"/>
    </row>
    <row r="5947" spans="22:22">
      <c r="V5947" s="16"/>
    </row>
    <row r="5948" spans="22:22">
      <c r="V5948" s="16"/>
    </row>
    <row r="5949" spans="22:22">
      <c r="V5949" s="16"/>
    </row>
    <row r="5950" spans="22:22">
      <c r="V5950" s="16"/>
    </row>
    <row r="5951" spans="22:22">
      <c r="V5951" s="16"/>
    </row>
    <row r="5952" spans="22:22">
      <c r="V5952" s="16"/>
    </row>
    <row r="5953" spans="22:22">
      <c r="V5953" s="16"/>
    </row>
    <row r="5954" spans="22:22">
      <c r="V5954" s="16"/>
    </row>
    <row r="5955" spans="22:22">
      <c r="V5955" s="16"/>
    </row>
    <row r="5956" spans="22:22">
      <c r="V5956" s="16"/>
    </row>
    <row r="5957" spans="22:22">
      <c r="V5957" s="16"/>
    </row>
    <row r="5958" spans="22:22">
      <c r="V5958" s="16"/>
    </row>
    <row r="5959" spans="22:22">
      <c r="V5959" s="16"/>
    </row>
    <row r="5960" spans="22:22">
      <c r="V5960" s="16"/>
    </row>
    <row r="5961" spans="22:22">
      <c r="V5961" s="16"/>
    </row>
    <row r="5962" spans="22:22">
      <c r="V5962" s="16"/>
    </row>
    <row r="5963" spans="22:22">
      <c r="V5963" s="16"/>
    </row>
    <row r="5964" spans="22:22">
      <c r="V5964" s="16"/>
    </row>
    <row r="5965" spans="22:22">
      <c r="V5965" s="16"/>
    </row>
    <row r="5966" spans="22:22">
      <c r="V5966" s="16"/>
    </row>
    <row r="5967" spans="22:22">
      <c r="V5967" s="16"/>
    </row>
    <row r="5968" spans="22:22">
      <c r="V5968" s="16"/>
    </row>
    <row r="5969" spans="22:22">
      <c r="V5969" s="16"/>
    </row>
    <row r="5970" spans="22:22">
      <c r="V5970" s="16"/>
    </row>
    <row r="5971" spans="22:22">
      <c r="V5971" s="16"/>
    </row>
    <row r="5972" spans="22:22">
      <c r="V5972" s="16"/>
    </row>
    <row r="5973" spans="22:22">
      <c r="V5973" s="16"/>
    </row>
    <row r="5974" spans="22:22">
      <c r="V5974" s="16"/>
    </row>
    <row r="5975" spans="22:22">
      <c r="V5975" s="16"/>
    </row>
    <row r="5976" spans="22:22">
      <c r="V5976" s="16"/>
    </row>
    <row r="5977" spans="22:22">
      <c r="V5977" s="16"/>
    </row>
    <row r="5978" spans="22:22">
      <c r="V5978" s="16"/>
    </row>
    <row r="5979" spans="22:22">
      <c r="V5979" s="16"/>
    </row>
    <row r="5980" spans="22:22">
      <c r="V5980" s="16"/>
    </row>
    <row r="5981" spans="22:22">
      <c r="V5981" s="16"/>
    </row>
    <row r="5982" spans="22:22">
      <c r="V5982" s="16"/>
    </row>
    <row r="5983" spans="22:22">
      <c r="V5983" s="16"/>
    </row>
    <row r="5984" spans="22:22">
      <c r="V5984" s="16"/>
    </row>
    <row r="5985" spans="22:22">
      <c r="V5985" s="16"/>
    </row>
    <row r="5986" spans="22:22">
      <c r="V5986" s="16"/>
    </row>
    <row r="5987" spans="22:22">
      <c r="V5987" s="16"/>
    </row>
    <row r="5988" spans="22:22">
      <c r="V5988" s="16"/>
    </row>
    <row r="5989" spans="22:22">
      <c r="V5989" s="16"/>
    </row>
    <row r="5990" spans="22:22">
      <c r="V5990" s="16"/>
    </row>
    <row r="5991" spans="22:22">
      <c r="V5991" s="16"/>
    </row>
    <row r="5992" spans="22:22">
      <c r="V5992" s="16"/>
    </row>
    <row r="5993" spans="22:22">
      <c r="V5993" s="16"/>
    </row>
    <row r="5994" spans="22:22">
      <c r="V5994" s="16"/>
    </row>
    <row r="5995" spans="22:22">
      <c r="V5995" s="16"/>
    </row>
    <row r="5996" spans="22:22">
      <c r="V5996" s="16"/>
    </row>
    <row r="5997" spans="22:22">
      <c r="V5997" s="16"/>
    </row>
    <row r="5998" spans="22:22">
      <c r="V5998" s="16"/>
    </row>
    <row r="5999" spans="22:22">
      <c r="V5999" s="16"/>
    </row>
    <row r="6000" spans="22:22">
      <c r="V6000" s="16"/>
    </row>
    <row r="6001" spans="22:22">
      <c r="V6001" s="16"/>
    </row>
    <row r="6002" spans="22:22">
      <c r="V6002" s="16"/>
    </row>
    <row r="6003" spans="22:22">
      <c r="V6003" s="16"/>
    </row>
    <row r="6004" spans="22:22">
      <c r="V6004" s="16"/>
    </row>
    <row r="6005" spans="22:22">
      <c r="V6005" s="16"/>
    </row>
    <row r="6006" spans="22:22">
      <c r="V6006" s="16"/>
    </row>
    <row r="6007" spans="22:22">
      <c r="V6007" s="16"/>
    </row>
    <row r="6008" spans="22:22">
      <c r="V6008" s="16"/>
    </row>
    <row r="6009" spans="22:22">
      <c r="V6009" s="16"/>
    </row>
    <row r="6010" spans="22:22">
      <c r="V6010" s="16"/>
    </row>
    <row r="6011" spans="22:22">
      <c r="V6011" s="16"/>
    </row>
    <row r="6012" spans="22:22">
      <c r="V6012" s="16"/>
    </row>
    <row r="6013" spans="22:22">
      <c r="V6013" s="16"/>
    </row>
    <row r="6014" spans="22:22">
      <c r="V6014" s="16"/>
    </row>
    <row r="6015" spans="22:22">
      <c r="V6015" s="16"/>
    </row>
    <row r="6016" spans="22:22">
      <c r="V6016" s="16"/>
    </row>
    <row r="6017" spans="22:22">
      <c r="V6017" s="16"/>
    </row>
    <row r="6018" spans="22:22">
      <c r="V6018" s="16"/>
    </row>
    <row r="6019" spans="22:22">
      <c r="V6019" s="16"/>
    </row>
    <row r="6020" spans="22:22">
      <c r="V6020" s="16"/>
    </row>
    <row r="6021" spans="22:22">
      <c r="V6021" s="16"/>
    </row>
    <row r="6022" spans="22:22">
      <c r="V6022" s="16"/>
    </row>
    <row r="6023" spans="22:22">
      <c r="V6023" s="16"/>
    </row>
    <row r="6024" spans="22:22">
      <c r="V6024" s="16"/>
    </row>
    <row r="6025" spans="22:22">
      <c r="V6025" s="16"/>
    </row>
    <row r="6026" spans="22:22">
      <c r="V6026" s="16"/>
    </row>
    <row r="6027" spans="22:22">
      <c r="V6027" s="16"/>
    </row>
    <row r="6028" spans="22:22">
      <c r="V6028" s="16"/>
    </row>
    <row r="6029" spans="22:22">
      <c r="V6029" s="16"/>
    </row>
    <row r="6030" spans="22:22">
      <c r="V6030" s="16"/>
    </row>
    <row r="6031" spans="22:22">
      <c r="V6031" s="16"/>
    </row>
    <row r="6032" spans="22:22">
      <c r="V6032" s="16"/>
    </row>
    <row r="6033" spans="22:22">
      <c r="V6033" s="16"/>
    </row>
    <row r="6034" spans="22:22">
      <c r="V6034" s="16"/>
    </row>
    <row r="6035" spans="22:22">
      <c r="V6035" s="16"/>
    </row>
    <row r="6036" spans="22:22">
      <c r="V6036" s="16"/>
    </row>
    <row r="6037" spans="22:22">
      <c r="V6037" s="16"/>
    </row>
    <row r="6038" spans="22:22">
      <c r="V6038" s="16"/>
    </row>
    <row r="6039" spans="22:22">
      <c r="V6039" s="16"/>
    </row>
    <row r="6040" spans="22:22">
      <c r="V6040" s="16"/>
    </row>
    <row r="6041" spans="22:22">
      <c r="V6041" s="16"/>
    </row>
    <row r="6042" spans="22:22">
      <c r="V6042" s="16"/>
    </row>
    <row r="6043" spans="22:22">
      <c r="V6043" s="16"/>
    </row>
    <row r="6044" spans="22:22">
      <c r="V6044" s="16"/>
    </row>
    <row r="6045" spans="22:22">
      <c r="V6045" s="16"/>
    </row>
    <row r="6046" spans="22:22">
      <c r="V6046" s="16"/>
    </row>
    <row r="6047" spans="22:22">
      <c r="V6047" s="16"/>
    </row>
    <row r="6048" spans="22:22">
      <c r="V6048" s="16"/>
    </row>
    <row r="6049" spans="22:22">
      <c r="V6049" s="16"/>
    </row>
    <row r="6050" spans="22:22">
      <c r="V6050" s="16"/>
    </row>
    <row r="6051" spans="22:22">
      <c r="V6051" s="16"/>
    </row>
    <row r="6052" spans="22:22">
      <c r="V6052" s="16"/>
    </row>
    <row r="6053" spans="22:22">
      <c r="V6053" s="16"/>
    </row>
    <row r="6054" spans="22:22">
      <c r="V6054" s="16"/>
    </row>
    <row r="6055" spans="22:22">
      <c r="V6055" s="16"/>
    </row>
    <row r="6056" spans="22:22">
      <c r="V6056" s="16"/>
    </row>
    <row r="6057" spans="22:22">
      <c r="V6057" s="16"/>
    </row>
    <row r="6058" spans="22:22">
      <c r="V6058" s="16"/>
    </row>
    <row r="6059" spans="22:22">
      <c r="V6059" s="16"/>
    </row>
    <row r="6060" spans="22:22">
      <c r="V6060" s="16"/>
    </row>
    <row r="6061" spans="22:22">
      <c r="V6061" s="16"/>
    </row>
    <row r="6062" spans="22:22">
      <c r="V6062" s="16"/>
    </row>
    <row r="6063" spans="22:22">
      <c r="V6063" s="16"/>
    </row>
    <row r="6064" spans="22:22">
      <c r="V6064" s="16"/>
    </row>
    <row r="6065" spans="22:22">
      <c r="V6065" s="16"/>
    </row>
    <row r="6066" spans="22:22">
      <c r="V6066" s="16"/>
    </row>
    <row r="6067" spans="22:22">
      <c r="V6067" s="16"/>
    </row>
    <row r="6068" spans="22:22">
      <c r="V6068" s="16"/>
    </row>
    <row r="6069" spans="22:22">
      <c r="V6069" s="16"/>
    </row>
    <row r="6070" spans="22:22">
      <c r="V6070" s="16"/>
    </row>
    <row r="6071" spans="22:22">
      <c r="V6071" s="16"/>
    </row>
    <row r="6072" spans="22:22">
      <c r="V6072" s="16"/>
    </row>
    <row r="6073" spans="22:22">
      <c r="V6073" s="16"/>
    </row>
    <row r="6074" spans="22:22">
      <c r="V6074" s="16"/>
    </row>
    <row r="6075" spans="22:22">
      <c r="V6075" s="16"/>
    </row>
    <row r="6076" spans="22:22">
      <c r="V6076" s="16"/>
    </row>
    <row r="6077" spans="22:22">
      <c r="V6077" s="16"/>
    </row>
    <row r="6078" spans="22:22">
      <c r="V6078" s="16"/>
    </row>
    <row r="6079" spans="22:22">
      <c r="V6079" s="16"/>
    </row>
    <row r="6080" spans="22:22">
      <c r="V6080" s="16"/>
    </row>
    <row r="6081" spans="22:22">
      <c r="V6081" s="16"/>
    </row>
    <row r="6082" spans="22:22">
      <c r="V6082" s="16"/>
    </row>
    <row r="6083" spans="22:22">
      <c r="V6083" s="16"/>
    </row>
    <row r="6084" spans="22:22">
      <c r="V6084" s="16"/>
    </row>
    <row r="6085" spans="22:22">
      <c r="V6085" s="16"/>
    </row>
    <row r="6086" spans="22:22">
      <c r="V6086" s="16"/>
    </row>
    <row r="6087" spans="22:22">
      <c r="V6087" s="16"/>
    </row>
    <row r="6088" spans="22:22">
      <c r="V6088" s="16"/>
    </row>
    <row r="6089" spans="22:22">
      <c r="V6089" s="16"/>
    </row>
    <row r="6090" spans="22:22">
      <c r="V6090" s="16"/>
    </row>
    <row r="6091" spans="22:22">
      <c r="V6091" s="16"/>
    </row>
    <row r="6092" spans="22:22">
      <c r="V6092" s="16"/>
    </row>
    <row r="6093" spans="22:22">
      <c r="V6093" s="16"/>
    </row>
    <row r="6094" spans="22:22">
      <c r="V6094" s="16"/>
    </row>
    <row r="6095" spans="22:22">
      <c r="V6095" s="16"/>
    </row>
    <row r="6096" spans="22:22">
      <c r="V6096" s="16"/>
    </row>
    <row r="6097" spans="22:22">
      <c r="V6097" s="16"/>
    </row>
    <row r="6098" spans="22:22">
      <c r="V6098" s="16"/>
    </row>
    <row r="6099" spans="22:22">
      <c r="V6099" s="16"/>
    </row>
    <row r="6100" spans="22:22">
      <c r="V6100" s="16"/>
    </row>
    <row r="6101" spans="22:22">
      <c r="V6101" s="16"/>
    </row>
    <row r="6102" spans="22:22">
      <c r="V6102" s="16"/>
    </row>
    <row r="6103" spans="22:22">
      <c r="V6103" s="16"/>
    </row>
    <row r="6104" spans="22:22">
      <c r="V6104" s="16"/>
    </row>
    <row r="6105" spans="22:22">
      <c r="V6105" s="16"/>
    </row>
    <row r="6106" spans="22:22">
      <c r="V6106" s="16"/>
    </row>
    <row r="6107" spans="22:22">
      <c r="V6107" s="16"/>
    </row>
    <row r="6108" spans="22:22">
      <c r="V6108" s="16"/>
    </row>
    <row r="6109" spans="22:22">
      <c r="V6109" s="16"/>
    </row>
    <row r="6110" spans="22:22">
      <c r="V6110" s="16"/>
    </row>
    <row r="6111" spans="22:22">
      <c r="V6111" s="16"/>
    </row>
    <row r="6112" spans="22:22">
      <c r="V6112" s="16"/>
    </row>
    <row r="6113" spans="22:22">
      <c r="V6113" s="16"/>
    </row>
    <row r="6114" spans="22:22">
      <c r="V6114" s="16"/>
    </row>
    <row r="6115" spans="22:22">
      <c r="V6115" s="16"/>
    </row>
    <row r="6116" spans="22:22">
      <c r="V6116" s="16"/>
    </row>
    <row r="6117" spans="22:22">
      <c r="V6117" s="16"/>
    </row>
    <row r="6118" spans="22:22">
      <c r="V6118" s="16"/>
    </row>
    <row r="6119" spans="22:22">
      <c r="V6119" s="16"/>
    </row>
    <row r="6120" spans="22:22">
      <c r="V6120" s="16"/>
    </row>
    <row r="6121" spans="22:22">
      <c r="V6121" s="16"/>
    </row>
    <row r="6122" spans="22:22">
      <c r="V6122" s="16"/>
    </row>
    <row r="6123" spans="22:22">
      <c r="V6123" s="16"/>
    </row>
    <row r="6124" spans="22:22">
      <c r="V6124" s="16"/>
    </row>
    <row r="6125" spans="22:22">
      <c r="V6125" s="16"/>
    </row>
    <row r="6126" spans="22:22">
      <c r="V6126" s="16"/>
    </row>
    <row r="6127" spans="22:22">
      <c r="V6127" s="16"/>
    </row>
    <row r="6128" spans="22:22">
      <c r="V6128" s="16"/>
    </row>
    <row r="6129" spans="22:22">
      <c r="V6129" s="16"/>
    </row>
    <row r="6130" spans="22:22">
      <c r="V6130" s="16"/>
    </row>
    <row r="6131" spans="22:22">
      <c r="V6131" s="16"/>
    </row>
    <row r="6132" spans="22:22">
      <c r="V6132" s="16"/>
    </row>
    <row r="6133" spans="22:22">
      <c r="V6133" s="16"/>
    </row>
    <row r="6134" spans="22:22">
      <c r="V6134" s="16"/>
    </row>
    <row r="6135" spans="22:22">
      <c r="V6135" s="16"/>
    </row>
    <row r="6136" spans="22:22">
      <c r="V6136" s="16"/>
    </row>
    <row r="6137" spans="22:22">
      <c r="V6137" s="16"/>
    </row>
    <row r="6138" spans="22:22">
      <c r="V6138" s="16"/>
    </row>
    <row r="6139" spans="22:22">
      <c r="V6139" s="16"/>
    </row>
    <row r="6140" spans="22:22">
      <c r="V6140" s="16"/>
    </row>
    <row r="6141" spans="22:22">
      <c r="V6141" s="16"/>
    </row>
    <row r="6142" spans="22:22">
      <c r="V6142" s="16"/>
    </row>
    <row r="6143" spans="22:22">
      <c r="V6143" s="16"/>
    </row>
    <row r="6144" spans="22:22">
      <c r="V6144" s="16"/>
    </row>
    <row r="6145" spans="22:22">
      <c r="V6145" s="16"/>
    </row>
    <row r="6146" spans="22:22">
      <c r="V6146" s="16"/>
    </row>
    <row r="6147" spans="22:22">
      <c r="V6147" s="16"/>
    </row>
    <row r="6148" spans="22:22">
      <c r="V6148" s="16"/>
    </row>
    <row r="6149" spans="22:22">
      <c r="V6149" s="16"/>
    </row>
    <row r="6150" spans="22:22">
      <c r="V6150" s="16"/>
    </row>
    <row r="6151" spans="22:22">
      <c r="V6151" s="16"/>
    </row>
    <row r="6152" spans="22:22">
      <c r="V6152" s="16"/>
    </row>
    <row r="6153" spans="22:22">
      <c r="V6153" s="16"/>
    </row>
    <row r="6154" spans="22:22">
      <c r="V6154" s="16"/>
    </row>
    <row r="6155" spans="22:22">
      <c r="V6155" s="16"/>
    </row>
    <row r="6156" spans="22:22">
      <c r="V6156" s="16"/>
    </row>
    <row r="6157" spans="22:22">
      <c r="V6157" s="16"/>
    </row>
    <row r="6158" spans="22:22">
      <c r="V6158" s="16"/>
    </row>
    <row r="6159" spans="22:22">
      <c r="V6159" s="16"/>
    </row>
    <row r="6160" spans="22:22">
      <c r="V6160" s="16"/>
    </row>
    <row r="6161" spans="22:22">
      <c r="V6161" s="16"/>
    </row>
    <row r="6162" spans="22:22">
      <c r="V6162" s="16"/>
    </row>
    <row r="6163" spans="22:22">
      <c r="V6163" s="16"/>
    </row>
    <row r="6164" spans="22:22">
      <c r="V6164" s="16"/>
    </row>
    <row r="6165" spans="22:22">
      <c r="V6165" s="16"/>
    </row>
    <row r="6166" spans="22:22">
      <c r="V6166" s="16"/>
    </row>
    <row r="6167" spans="22:22">
      <c r="V6167" s="16"/>
    </row>
    <row r="6168" spans="22:22">
      <c r="V6168" s="16"/>
    </row>
    <row r="6169" spans="22:22">
      <c r="V6169" s="16"/>
    </row>
    <row r="6170" spans="22:22">
      <c r="V6170" s="16"/>
    </row>
    <row r="6171" spans="22:22">
      <c r="V6171" s="16"/>
    </row>
    <row r="6172" spans="22:22">
      <c r="V6172" s="16"/>
    </row>
    <row r="6173" spans="22:22">
      <c r="V6173" s="16"/>
    </row>
    <row r="6174" spans="22:22">
      <c r="V6174" s="16"/>
    </row>
    <row r="6175" spans="22:22">
      <c r="V6175" s="16"/>
    </row>
    <row r="6176" spans="22:22">
      <c r="V6176" s="16"/>
    </row>
    <row r="6177" spans="22:22">
      <c r="V6177" s="16"/>
    </row>
    <row r="6178" spans="22:22">
      <c r="V6178" s="16"/>
    </row>
    <row r="6179" spans="22:22">
      <c r="V6179" s="16"/>
    </row>
    <row r="6180" spans="22:22">
      <c r="V6180" s="16"/>
    </row>
    <row r="6181" spans="22:22">
      <c r="V6181" s="16"/>
    </row>
    <row r="6182" spans="22:22">
      <c r="V6182" s="16"/>
    </row>
    <row r="6183" spans="22:22">
      <c r="V6183" s="16"/>
    </row>
    <row r="6184" spans="22:22">
      <c r="V6184" s="16"/>
    </row>
    <row r="6185" spans="22:22">
      <c r="V6185" s="16"/>
    </row>
    <row r="6186" spans="22:22">
      <c r="V6186" s="16"/>
    </row>
    <row r="6187" spans="22:22">
      <c r="V6187" s="16"/>
    </row>
    <row r="6188" spans="22:22">
      <c r="V6188" s="16"/>
    </row>
    <row r="6189" spans="22:22">
      <c r="V6189" s="16"/>
    </row>
    <row r="6190" spans="22:22">
      <c r="V6190" s="16"/>
    </row>
    <row r="6191" spans="22:22">
      <c r="V6191" s="16"/>
    </row>
    <row r="6192" spans="22:22">
      <c r="V6192" s="16"/>
    </row>
    <row r="6193" spans="22:22">
      <c r="V6193" s="16"/>
    </row>
    <row r="6194" spans="22:22">
      <c r="V6194" s="16"/>
    </row>
    <row r="6195" spans="22:22">
      <c r="V6195" s="16"/>
    </row>
    <row r="6196" spans="22:22">
      <c r="V6196" s="16"/>
    </row>
    <row r="6197" spans="22:22">
      <c r="V6197" s="16"/>
    </row>
    <row r="6198" spans="22:22">
      <c r="V6198" s="16"/>
    </row>
    <row r="6199" spans="22:22">
      <c r="V6199" s="16"/>
    </row>
    <row r="6200" spans="22:22">
      <c r="V6200" s="16"/>
    </row>
    <row r="6201" spans="22:22">
      <c r="V6201" s="16"/>
    </row>
    <row r="6202" spans="22:22">
      <c r="V6202" s="16"/>
    </row>
    <row r="6203" spans="22:22">
      <c r="V6203" s="16"/>
    </row>
    <row r="6204" spans="22:22">
      <c r="V6204" s="16"/>
    </row>
    <row r="6205" spans="22:22">
      <c r="V6205" s="16"/>
    </row>
    <row r="6206" spans="22:22">
      <c r="V6206" s="16"/>
    </row>
    <row r="6207" spans="22:22">
      <c r="V6207" s="16"/>
    </row>
    <row r="6208" spans="22:22">
      <c r="V6208" s="16"/>
    </row>
    <row r="6209" spans="22:22">
      <c r="V6209" s="16"/>
    </row>
    <row r="6210" spans="22:22">
      <c r="V6210" s="16"/>
    </row>
    <row r="6211" spans="22:22">
      <c r="V6211" s="16"/>
    </row>
    <row r="6212" spans="22:22">
      <c r="V6212" s="16"/>
    </row>
    <row r="6213" spans="22:22">
      <c r="V6213" s="16"/>
    </row>
    <row r="6214" spans="22:22">
      <c r="V6214" s="16"/>
    </row>
    <row r="6215" spans="22:22">
      <c r="V6215" s="16"/>
    </row>
    <row r="6216" spans="22:22">
      <c r="V6216" s="16"/>
    </row>
    <row r="6217" spans="22:22">
      <c r="V6217" s="16"/>
    </row>
    <row r="6218" spans="22:22">
      <c r="V6218" s="16"/>
    </row>
    <row r="6219" spans="22:22">
      <c r="V6219" s="16"/>
    </row>
    <row r="6220" spans="22:22">
      <c r="V6220" s="16"/>
    </row>
    <row r="6221" spans="22:22">
      <c r="V6221" s="16"/>
    </row>
    <row r="6222" spans="22:22">
      <c r="V6222" s="16"/>
    </row>
    <row r="6223" spans="22:22">
      <c r="V6223" s="16"/>
    </row>
    <row r="6224" spans="22:22">
      <c r="V6224" s="16"/>
    </row>
    <row r="6225" spans="22:22">
      <c r="V6225" s="16"/>
    </row>
    <row r="6226" spans="22:22">
      <c r="V6226" s="16"/>
    </row>
    <row r="6227" spans="22:22">
      <c r="V6227" s="16"/>
    </row>
    <row r="6228" spans="22:22">
      <c r="V6228" s="16"/>
    </row>
    <row r="6229" spans="22:22">
      <c r="V6229" s="16"/>
    </row>
    <row r="6230" spans="22:22">
      <c r="V6230" s="16"/>
    </row>
    <row r="6231" spans="22:22">
      <c r="V6231" s="16"/>
    </row>
    <row r="6232" spans="22:22">
      <c r="V6232" s="16"/>
    </row>
    <row r="6233" spans="22:22">
      <c r="V6233" s="16"/>
    </row>
    <row r="6234" spans="22:22">
      <c r="V6234" s="16"/>
    </row>
    <row r="6235" spans="22:22">
      <c r="V6235" s="16"/>
    </row>
    <row r="6236" spans="22:22">
      <c r="V6236" s="16"/>
    </row>
    <row r="6237" spans="22:22">
      <c r="V6237" s="16"/>
    </row>
    <row r="6238" spans="22:22">
      <c r="V6238" s="16"/>
    </row>
    <row r="6239" spans="22:22">
      <c r="V6239" s="16"/>
    </row>
    <row r="6240" spans="22:22">
      <c r="V6240" s="16"/>
    </row>
    <row r="6241" spans="22:22">
      <c r="V6241" s="16"/>
    </row>
    <row r="6242" spans="22:22">
      <c r="V6242" s="16"/>
    </row>
    <row r="6243" spans="22:22">
      <c r="V6243" s="16"/>
    </row>
    <row r="6244" spans="22:22">
      <c r="V6244" s="16"/>
    </row>
    <row r="6245" spans="22:22">
      <c r="V6245" s="16"/>
    </row>
    <row r="6246" spans="22:22">
      <c r="V6246" s="16"/>
    </row>
    <row r="6247" spans="22:22">
      <c r="V6247" s="16"/>
    </row>
    <row r="6248" spans="22:22">
      <c r="V6248" s="16"/>
    </row>
    <row r="6249" spans="22:22">
      <c r="V6249" s="16"/>
    </row>
    <row r="6250" spans="22:22">
      <c r="V6250" s="16"/>
    </row>
    <row r="6251" spans="22:22">
      <c r="V6251" s="16"/>
    </row>
    <row r="6252" spans="22:22">
      <c r="V6252" s="16"/>
    </row>
    <row r="6253" spans="22:22">
      <c r="V6253" s="16"/>
    </row>
    <row r="6254" spans="22:22">
      <c r="V6254" s="16"/>
    </row>
    <row r="6255" spans="22:22">
      <c r="V6255" s="16"/>
    </row>
    <row r="6256" spans="22:22">
      <c r="V6256" s="16"/>
    </row>
    <row r="6257" spans="22:22">
      <c r="V6257" s="16"/>
    </row>
    <row r="6258" spans="22:22">
      <c r="V6258" s="16"/>
    </row>
    <row r="6259" spans="22:22">
      <c r="V6259" s="16"/>
    </row>
    <row r="6260" spans="22:22">
      <c r="V6260" s="16"/>
    </row>
    <row r="6261" spans="22:22">
      <c r="V6261" s="16"/>
    </row>
    <row r="6262" spans="22:22">
      <c r="V6262" s="16"/>
    </row>
    <row r="6263" spans="22:22">
      <c r="V6263" s="16"/>
    </row>
    <row r="6264" spans="22:22">
      <c r="V6264" s="16"/>
    </row>
    <row r="6265" spans="22:22">
      <c r="V6265" s="16"/>
    </row>
    <row r="6266" spans="22:22">
      <c r="V6266" s="16"/>
    </row>
    <row r="6267" spans="22:22">
      <c r="V6267" s="16"/>
    </row>
    <row r="6268" spans="22:22">
      <c r="V6268" s="16"/>
    </row>
    <row r="6269" spans="22:22">
      <c r="V6269" s="16"/>
    </row>
    <row r="6270" spans="22:22">
      <c r="V6270" s="16"/>
    </row>
    <row r="6271" spans="22:22">
      <c r="V6271" s="16"/>
    </row>
    <row r="6272" spans="22:22">
      <c r="V6272" s="16"/>
    </row>
    <row r="6273" spans="22:22">
      <c r="V6273" s="16"/>
    </row>
    <row r="6274" spans="22:22">
      <c r="V6274" s="16"/>
    </row>
    <row r="6275" spans="22:22">
      <c r="V6275" s="16"/>
    </row>
    <row r="6276" spans="22:22">
      <c r="V6276" s="16"/>
    </row>
    <row r="6277" spans="22:22">
      <c r="V6277" s="16"/>
    </row>
    <row r="6278" spans="22:22">
      <c r="V6278" s="16"/>
    </row>
    <row r="6279" spans="22:22">
      <c r="V6279" s="16"/>
    </row>
    <row r="6280" spans="22:22">
      <c r="V6280" s="16"/>
    </row>
    <row r="6281" spans="22:22">
      <c r="V6281" s="16"/>
    </row>
    <row r="6282" spans="22:22">
      <c r="V6282" s="16"/>
    </row>
    <row r="6283" spans="22:22">
      <c r="V6283" s="16"/>
    </row>
    <row r="6284" spans="22:22">
      <c r="V6284" s="16"/>
    </row>
    <row r="6285" spans="22:22">
      <c r="V6285" s="16"/>
    </row>
    <row r="6286" spans="22:22">
      <c r="V6286" s="16"/>
    </row>
    <row r="6287" spans="22:22">
      <c r="V6287" s="16"/>
    </row>
    <row r="6288" spans="22:22">
      <c r="V6288" s="16"/>
    </row>
    <row r="6289" spans="22:22">
      <c r="V6289" s="16"/>
    </row>
    <row r="6290" spans="22:22">
      <c r="V6290" s="16"/>
    </row>
    <row r="6291" spans="22:22">
      <c r="V6291" s="16"/>
    </row>
    <row r="6292" spans="22:22">
      <c r="V6292" s="16"/>
    </row>
    <row r="6293" spans="22:22">
      <c r="V6293" s="16"/>
    </row>
    <row r="6294" spans="22:22">
      <c r="V6294" s="16"/>
    </row>
    <row r="6295" spans="22:22">
      <c r="V6295" s="16"/>
    </row>
    <row r="6296" spans="22:22">
      <c r="V6296" s="16"/>
    </row>
    <row r="6297" spans="22:22">
      <c r="V6297" s="16"/>
    </row>
    <row r="6298" spans="22:22">
      <c r="V6298" s="16"/>
    </row>
    <row r="6299" spans="22:22">
      <c r="V6299" s="16"/>
    </row>
    <row r="6300" spans="22:22">
      <c r="V6300" s="16"/>
    </row>
    <row r="6301" spans="22:22">
      <c r="V6301" s="16"/>
    </row>
    <row r="6302" spans="22:22">
      <c r="V6302" s="16"/>
    </row>
    <row r="6303" spans="22:22">
      <c r="V6303" s="16"/>
    </row>
    <row r="6304" spans="22:22">
      <c r="V6304" s="16"/>
    </row>
    <row r="6305" spans="22:22">
      <c r="V6305" s="16"/>
    </row>
    <row r="6306" spans="22:22">
      <c r="V6306" s="16"/>
    </row>
    <row r="6307" spans="22:22">
      <c r="V6307" s="16"/>
    </row>
    <row r="6308" spans="22:22">
      <c r="V6308" s="16"/>
    </row>
    <row r="6309" spans="22:22">
      <c r="V6309" s="16"/>
    </row>
    <row r="6310" spans="22:22">
      <c r="V6310" s="16"/>
    </row>
    <row r="6311" spans="22:22">
      <c r="V6311" s="16"/>
    </row>
    <row r="6312" spans="22:22">
      <c r="V6312" s="16"/>
    </row>
    <row r="6313" spans="22:22">
      <c r="V6313" s="16"/>
    </row>
    <row r="6314" spans="22:22">
      <c r="V6314" s="16"/>
    </row>
    <row r="6315" spans="22:22">
      <c r="V6315" s="16"/>
    </row>
    <row r="6316" spans="22:22">
      <c r="V6316" s="16"/>
    </row>
    <row r="6317" spans="22:22">
      <c r="V6317" s="16"/>
    </row>
    <row r="6318" spans="22:22">
      <c r="V6318" s="16"/>
    </row>
    <row r="6319" spans="22:22">
      <c r="V6319" s="16"/>
    </row>
    <row r="6320" spans="22:22">
      <c r="V6320" s="16"/>
    </row>
    <row r="6321" spans="22:22">
      <c r="V6321" s="16"/>
    </row>
    <row r="6322" spans="22:22">
      <c r="V6322" s="16"/>
    </row>
    <row r="6323" spans="22:22">
      <c r="V6323" s="16"/>
    </row>
    <row r="6324" spans="22:22">
      <c r="V6324" s="16"/>
    </row>
    <row r="6325" spans="22:22">
      <c r="V6325" s="16"/>
    </row>
    <row r="6326" spans="22:22">
      <c r="V6326" s="16"/>
    </row>
    <row r="6327" spans="22:22">
      <c r="V6327" s="16"/>
    </row>
    <row r="6328" spans="22:22">
      <c r="V6328" s="16"/>
    </row>
    <row r="6329" spans="22:22">
      <c r="V6329" s="16"/>
    </row>
    <row r="6330" spans="22:22">
      <c r="V6330" s="16"/>
    </row>
    <row r="6331" spans="22:22">
      <c r="V6331" s="16"/>
    </row>
    <row r="6332" spans="22:22">
      <c r="V6332" s="16"/>
    </row>
    <row r="6333" spans="22:22">
      <c r="V6333" s="16"/>
    </row>
    <row r="6334" spans="22:22">
      <c r="V6334" s="16"/>
    </row>
    <row r="6335" spans="22:22">
      <c r="V6335" s="16"/>
    </row>
    <row r="6336" spans="22:22">
      <c r="V6336" s="16"/>
    </row>
    <row r="6337" spans="22:22">
      <c r="V6337" s="16"/>
    </row>
    <row r="6338" spans="22:22">
      <c r="V6338" s="16"/>
    </row>
    <row r="6339" spans="22:22">
      <c r="V6339" s="16"/>
    </row>
    <row r="6340" spans="22:22">
      <c r="V6340" s="16"/>
    </row>
    <row r="6341" spans="22:22">
      <c r="V6341" s="16"/>
    </row>
    <row r="6342" spans="22:22">
      <c r="V6342" s="16"/>
    </row>
    <row r="6343" spans="22:22">
      <c r="V6343" s="16"/>
    </row>
    <row r="6344" spans="22:22">
      <c r="V6344" s="16"/>
    </row>
    <row r="6345" spans="22:22">
      <c r="V6345" s="16"/>
    </row>
    <row r="6346" spans="22:22">
      <c r="V6346" s="16"/>
    </row>
    <row r="6347" spans="22:22">
      <c r="V6347" s="16"/>
    </row>
    <row r="6348" spans="22:22">
      <c r="V6348" s="16"/>
    </row>
    <row r="6349" spans="22:22">
      <c r="V6349" s="16"/>
    </row>
    <row r="6350" spans="22:22">
      <c r="V6350" s="16"/>
    </row>
    <row r="6351" spans="22:22">
      <c r="V6351" s="16"/>
    </row>
    <row r="6352" spans="22:22">
      <c r="V6352" s="16"/>
    </row>
    <row r="6353" spans="22:22">
      <c r="V6353" s="16"/>
    </row>
    <row r="6354" spans="22:22">
      <c r="V6354" s="16"/>
    </row>
    <row r="6355" spans="22:22">
      <c r="V6355" s="16"/>
    </row>
    <row r="6356" spans="22:22">
      <c r="V6356" s="16"/>
    </row>
    <row r="6357" spans="22:22">
      <c r="V6357" s="16"/>
    </row>
    <row r="6358" spans="22:22">
      <c r="V6358" s="16"/>
    </row>
    <row r="6359" spans="22:22">
      <c r="V6359" s="16"/>
    </row>
    <row r="6360" spans="22:22">
      <c r="V6360" s="16"/>
    </row>
    <row r="6361" spans="22:22">
      <c r="V6361" s="16"/>
    </row>
    <row r="6362" spans="22:22">
      <c r="V6362" s="16"/>
    </row>
    <row r="6363" spans="22:22">
      <c r="V6363" s="16"/>
    </row>
    <row r="6364" spans="22:22">
      <c r="V6364" s="16"/>
    </row>
    <row r="6365" spans="22:22">
      <c r="V6365" s="16"/>
    </row>
    <row r="6366" spans="22:22">
      <c r="V6366" s="16"/>
    </row>
    <row r="6367" spans="22:22">
      <c r="V6367" s="16"/>
    </row>
    <row r="6368" spans="22:22">
      <c r="V6368" s="16"/>
    </row>
    <row r="6369" spans="22:22">
      <c r="V6369" s="16"/>
    </row>
    <row r="6370" spans="22:22">
      <c r="V6370" s="16"/>
    </row>
    <row r="6371" spans="22:22">
      <c r="V6371" s="16"/>
    </row>
    <row r="6372" spans="22:22">
      <c r="V6372" s="16"/>
    </row>
    <row r="6373" spans="22:22">
      <c r="V6373" s="16"/>
    </row>
    <row r="6374" spans="22:22">
      <c r="V6374" s="16"/>
    </row>
    <row r="6375" spans="22:22">
      <c r="V6375" s="16"/>
    </row>
    <row r="6376" spans="22:22">
      <c r="V6376" s="16"/>
    </row>
    <row r="6377" spans="22:22">
      <c r="V6377" s="16"/>
    </row>
    <row r="6378" spans="22:22">
      <c r="V6378" s="16"/>
    </row>
    <row r="6379" spans="22:22">
      <c r="V6379" s="16"/>
    </row>
    <row r="6380" spans="22:22">
      <c r="V6380" s="16"/>
    </row>
    <row r="6381" spans="22:22">
      <c r="V6381" s="16"/>
    </row>
    <row r="6382" spans="22:22">
      <c r="V6382" s="16"/>
    </row>
    <row r="6383" spans="22:22">
      <c r="V6383" s="16"/>
    </row>
    <row r="6384" spans="22:22">
      <c r="V6384" s="16"/>
    </row>
    <row r="6385" spans="22:22">
      <c r="V6385" s="16"/>
    </row>
    <row r="6386" spans="22:22">
      <c r="V6386" s="16"/>
    </row>
    <row r="6387" spans="22:22">
      <c r="V6387" s="16"/>
    </row>
    <row r="6388" spans="22:22">
      <c r="V6388" s="16"/>
    </row>
    <row r="6389" spans="22:22">
      <c r="V6389" s="16"/>
    </row>
    <row r="6390" spans="22:22">
      <c r="V6390" s="16"/>
    </row>
    <row r="6391" spans="22:22">
      <c r="V6391" s="16"/>
    </row>
    <row r="6392" spans="22:22">
      <c r="V6392" s="16"/>
    </row>
    <row r="6393" spans="22:22">
      <c r="V6393" s="16"/>
    </row>
    <row r="6394" spans="22:22">
      <c r="V6394" s="16"/>
    </row>
    <row r="6395" spans="22:22">
      <c r="V6395" s="16"/>
    </row>
    <row r="6396" spans="22:22">
      <c r="V6396" s="16"/>
    </row>
    <row r="6397" spans="22:22">
      <c r="V6397" s="16"/>
    </row>
    <row r="6398" spans="22:22">
      <c r="V6398" s="16"/>
    </row>
    <row r="6399" spans="22:22">
      <c r="V6399" s="16"/>
    </row>
    <row r="6400" spans="22:22">
      <c r="V6400" s="16"/>
    </row>
    <row r="6401" spans="22:22">
      <c r="V6401" s="16"/>
    </row>
    <row r="6402" spans="22:22">
      <c r="V6402" s="16"/>
    </row>
    <row r="6403" spans="22:22">
      <c r="V6403" s="16"/>
    </row>
    <row r="6404" spans="22:22">
      <c r="V6404" s="16"/>
    </row>
    <row r="6405" spans="22:22">
      <c r="V6405" s="16"/>
    </row>
    <row r="6406" spans="22:22">
      <c r="V6406" s="16"/>
    </row>
    <row r="6407" spans="22:22">
      <c r="V6407" s="16"/>
    </row>
    <row r="6408" spans="22:22">
      <c r="V6408" s="16"/>
    </row>
    <row r="6409" spans="22:22">
      <c r="V6409" s="16"/>
    </row>
    <row r="6410" spans="22:22">
      <c r="V6410" s="16"/>
    </row>
    <row r="6411" spans="22:22">
      <c r="V6411" s="16"/>
    </row>
    <row r="6412" spans="22:22">
      <c r="V6412" s="16"/>
    </row>
    <row r="6413" spans="22:22">
      <c r="V6413" s="16"/>
    </row>
    <row r="6414" spans="22:22">
      <c r="V6414" s="16"/>
    </row>
    <row r="6415" spans="22:22">
      <c r="V6415" s="16"/>
    </row>
    <row r="6416" spans="22:22">
      <c r="V6416" s="16"/>
    </row>
    <row r="6417" spans="22:22">
      <c r="V6417" s="16"/>
    </row>
    <row r="6418" spans="22:22">
      <c r="V6418" s="16"/>
    </row>
    <row r="6419" spans="22:22">
      <c r="V6419" s="16"/>
    </row>
    <row r="6420" spans="22:22">
      <c r="V6420" s="16"/>
    </row>
    <row r="6421" spans="22:22">
      <c r="V6421" s="16"/>
    </row>
    <row r="6422" spans="22:22">
      <c r="V6422" s="16"/>
    </row>
    <row r="6423" spans="22:22">
      <c r="V6423" s="16"/>
    </row>
    <row r="6424" spans="22:22">
      <c r="V6424" s="16"/>
    </row>
    <row r="6425" spans="22:22">
      <c r="V6425" s="16"/>
    </row>
    <row r="6426" spans="22:22">
      <c r="V6426" s="16"/>
    </row>
    <row r="6427" spans="22:22">
      <c r="V6427" s="16"/>
    </row>
    <row r="6428" spans="22:22">
      <c r="V6428" s="16"/>
    </row>
    <row r="6429" spans="22:22">
      <c r="V6429" s="16"/>
    </row>
    <row r="6430" spans="22:22">
      <c r="V6430" s="16"/>
    </row>
    <row r="6431" spans="22:22">
      <c r="V6431" s="16"/>
    </row>
    <row r="6432" spans="22:22">
      <c r="V6432" s="16"/>
    </row>
    <row r="6433" spans="22:22">
      <c r="V6433" s="16"/>
    </row>
    <row r="6434" spans="22:22">
      <c r="V6434" s="16"/>
    </row>
    <row r="6435" spans="22:22">
      <c r="V6435" s="16"/>
    </row>
    <row r="6436" spans="22:22">
      <c r="V6436" s="16"/>
    </row>
    <row r="6437" spans="22:22">
      <c r="V6437" s="16"/>
    </row>
    <row r="6438" spans="22:22">
      <c r="V6438" s="16"/>
    </row>
    <row r="6439" spans="22:22">
      <c r="V6439" s="16"/>
    </row>
    <row r="6440" spans="22:22">
      <c r="V6440" s="16"/>
    </row>
    <row r="6441" spans="22:22">
      <c r="V6441" s="16"/>
    </row>
    <row r="6442" spans="22:22">
      <c r="V6442" s="16"/>
    </row>
    <row r="6443" spans="22:22">
      <c r="V6443" s="16"/>
    </row>
    <row r="6444" spans="22:22">
      <c r="V6444" s="16"/>
    </row>
    <row r="6445" spans="22:22">
      <c r="V6445" s="16"/>
    </row>
    <row r="6446" spans="22:22">
      <c r="V6446" s="16"/>
    </row>
    <row r="6447" spans="22:22">
      <c r="V6447" s="16"/>
    </row>
    <row r="6448" spans="22:22">
      <c r="V6448" s="16"/>
    </row>
    <row r="6449" spans="22:22">
      <c r="V6449" s="16"/>
    </row>
    <row r="6450" spans="22:22">
      <c r="V6450" s="16"/>
    </row>
    <row r="6451" spans="22:22">
      <c r="V6451" s="16"/>
    </row>
    <row r="6452" spans="22:22">
      <c r="V6452" s="16"/>
    </row>
    <row r="6453" spans="22:22">
      <c r="V6453" s="16"/>
    </row>
    <row r="6454" spans="22:22">
      <c r="V6454" s="16"/>
    </row>
    <row r="6455" spans="22:22">
      <c r="V6455" s="16"/>
    </row>
    <row r="6456" spans="22:22">
      <c r="V6456" s="16"/>
    </row>
    <row r="6457" spans="22:22">
      <c r="V6457" s="16"/>
    </row>
    <row r="6458" spans="22:22">
      <c r="V6458" s="16"/>
    </row>
    <row r="6459" spans="22:22">
      <c r="V6459" s="16"/>
    </row>
    <row r="6460" spans="22:22">
      <c r="V6460" s="16"/>
    </row>
    <row r="6461" spans="22:22">
      <c r="V6461" s="16"/>
    </row>
    <row r="6462" spans="22:22">
      <c r="V6462" s="16"/>
    </row>
    <row r="6463" spans="22:22">
      <c r="V6463" s="16"/>
    </row>
    <row r="6464" spans="22:22">
      <c r="V6464" s="16"/>
    </row>
    <row r="6465" spans="22:22">
      <c r="V6465" s="16"/>
    </row>
    <row r="6466" spans="22:22">
      <c r="V6466" s="16"/>
    </row>
    <row r="6467" spans="22:22">
      <c r="V6467" s="16"/>
    </row>
    <row r="6468" spans="22:22">
      <c r="V6468" s="16"/>
    </row>
    <row r="6469" spans="22:22">
      <c r="V6469" s="16"/>
    </row>
    <row r="6470" spans="22:22">
      <c r="V6470" s="16"/>
    </row>
    <row r="6471" spans="22:22">
      <c r="V6471" s="16"/>
    </row>
    <row r="6472" spans="22:22">
      <c r="V6472" s="16"/>
    </row>
    <row r="6473" spans="22:22">
      <c r="V6473" s="16"/>
    </row>
    <row r="6474" spans="22:22">
      <c r="V6474" s="16"/>
    </row>
    <row r="6475" spans="22:22">
      <c r="V6475" s="16"/>
    </row>
    <row r="6476" spans="22:22">
      <c r="V6476" s="16"/>
    </row>
    <row r="6477" spans="22:22">
      <c r="V6477" s="16"/>
    </row>
    <row r="6478" spans="22:22">
      <c r="V6478" s="16"/>
    </row>
    <row r="6479" spans="22:22">
      <c r="V6479" s="16"/>
    </row>
    <row r="6480" spans="22:22">
      <c r="V6480" s="16"/>
    </row>
    <row r="6481" spans="22:22">
      <c r="V6481" s="16"/>
    </row>
    <row r="6482" spans="22:22">
      <c r="V6482" s="16"/>
    </row>
    <row r="6483" spans="22:22">
      <c r="V6483" s="16"/>
    </row>
    <row r="6484" spans="22:22">
      <c r="V6484" s="16"/>
    </row>
    <row r="6485" spans="22:22">
      <c r="V6485" s="16"/>
    </row>
    <row r="6486" spans="22:22">
      <c r="V6486" s="16"/>
    </row>
    <row r="6487" spans="22:22">
      <c r="V6487" s="16"/>
    </row>
    <row r="6488" spans="22:22">
      <c r="V6488" s="16"/>
    </row>
    <row r="6489" spans="22:22">
      <c r="V6489" s="16"/>
    </row>
    <row r="6490" spans="22:22">
      <c r="V6490" s="16"/>
    </row>
    <row r="6491" spans="22:22">
      <c r="V6491" s="16"/>
    </row>
    <row r="6492" spans="22:22">
      <c r="V6492" s="16"/>
    </row>
    <row r="6493" spans="22:22">
      <c r="V6493" s="16"/>
    </row>
    <row r="6494" spans="22:22">
      <c r="V6494" s="16"/>
    </row>
    <row r="6495" spans="22:22">
      <c r="V6495" s="16"/>
    </row>
    <row r="6496" spans="22:22">
      <c r="V6496" s="16"/>
    </row>
    <row r="6497" spans="22:22">
      <c r="V6497" s="16"/>
    </row>
    <row r="6498" spans="22:22">
      <c r="V6498" s="16"/>
    </row>
    <row r="6499" spans="22:22">
      <c r="V6499" s="16"/>
    </row>
    <row r="6500" spans="22:22">
      <c r="V6500" s="16"/>
    </row>
    <row r="6501" spans="22:22">
      <c r="V6501" s="16"/>
    </row>
    <row r="6502" spans="22:22">
      <c r="V6502" s="16"/>
    </row>
    <row r="6503" spans="22:22">
      <c r="V6503" s="16"/>
    </row>
    <row r="6504" spans="22:22">
      <c r="V6504" s="16"/>
    </row>
    <row r="6505" spans="22:22">
      <c r="V6505" s="16"/>
    </row>
    <row r="6506" spans="22:22">
      <c r="V6506" s="16"/>
    </row>
    <row r="6507" spans="22:22">
      <c r="V6507" s="16"/>
    </row>
    <row r="6508" spans="22:22">
      <c r="V6508" s="16"/>
    </row>
    <row r="6509" spans="22:22">
      <c r="V6509" s="16"/>
    </row>
    <row r="6510" spans="22:22">
      <c r="V6510" s="16"/>
    </row>
    <row r="6511" spans="22:22">
      <c r="V6511" s="16"/>
    </row>
    <row r="6512" spans="22:22">
      <c r="V6512" s="16"/>
    </row>
    <row r="6513" spans="22:22">
      <c r="V6513" s="16"/>
    </row>
    <row r="6514" spans="22:22">
      <c r="V6514" s="16"/>
    </row>
    <row r="6515" spans="22:22">
      <c r="V6515" s="16"/>
    </row>
    <row r="6516" spans="22:22">
      <c r="V6516" s="16"/>
    </row>
    <row r="6517" spans="22:22">
      <c r="V6517" s="16"/>
    </row>
    <row r="6518" spans="22:22">
      <c r="V6518" s="16"/>
    </row>
    <row r="6519" spans="22:22">
      <c r="V6519" s="16"/>
    </row>
    <row r="6520" spans="22:22">
      <c r="V6520" s="16"/>
    </row>
    <row r="6521" spans="22:22">
      <c r="V6521" s="16"/>
    </row>
    <row r="6522" spans="22:22">
      <c r="V6522" s="16"/>
    </row>
    <row r="6523" spans="22:22">
      <c r="V6523" s="16"/>
    </row>
    <row r="6524" spans="22:22">
      <c r="V6524" s="16"/>
    </row>
    <row r="6525" spans="22:22">
      <c r="V6525" s="16"/>
    </row>
    <row r="6526" spans="22:22">
      <c r="V6526" s="16"/>
    </row>
    <row r="6527" spans="22:22">
      <c r="V6527" s="16"/>
    </row>
    <row r="6528" spans="22:22">
      <c r="V6528" s="16"/>
    </row>
    <row r="6529" spans="22:22">
      <c r="V6529" s="16"/>
    </row>
    <row r="6530" spans="22:22">
      <c r="V6530" s="16"/>
    </row>
    <row r="6531" spans="22:22">
      <c r="V6531" s="16"/>
    </row>
    <row r="6532" spans="22:22">
      <c r="V6532" s="16"/>
    </row>
    <row r="6533" spans="22:22">
      <c r="V6533" s="16"/>
    </row>
    <row r="6534" spans="22:22">
      <c r="V6534" s="16"/>
    </row>
    <row r="6535" spans="22:22">
      <c r="V6535" s="16"/>
    </row>
    <row r="6536" spans="22:22">
      <c r="V6536" s="16"/>
    </row>
    <row r="6537" spans="22:22">
      <c r="V6537" s="16"/>
    </row>
    <row r="6538" spans="22:22">
      <c r="V6538" s="16"/>
    </row>
    <row r="6539" spans="22:22">
      <c r="V6539" s="16"/>
    </row>
    <row r="6540" spans="22:22">
      <c r="V6540" s="16"/>
    </row>
    <row r="6541" spans="22:22">
      <c r="V6541" s="16"/>
    </row>
    <row r="6542" spans="22:22">
      <c r="V6542" s="16"/>
    </row>
    <row r="6543" spans="22:22">
      <c r="V6543" s="16"/>
    </row>
    <row r="6544" spans="22:22">
      <c r="V6544" s="16"/>
    </row>
    <row r="6545" spans="22:22">
      <c r="V6545" s="16"/>
    </row>
    <row r="6546" spans="22:22">
      <c r="V6546" s="16"/>
    </row>
    <row r="6547" spans="22:22">
      <c r="V6547" s="16"/>
    </row>
    <row r="6548" spans="22:22">
      <c r="V6548" s="16"/>
    </row>
    <row r="6549" spans="22:22">
      <c r="V6549" s="16"/>
    </row>
    <row r="6550" spans="22:22">
      <c r="V6550" s="16"/>
    </row>
    <row r="6551" spans="22:22">
      <c r="V6551" s="16"/>
    </row>
    <row r="6552" spans="22:22">
      <c r="V6552" s="16"/>
    </row>
    <row r="6553" spans="22:22">
      <c r="V6553" s="16"/>
    </row>
    <row r="6554" spans="22:22">
      <c r="V6554" s="16"/>
    </row>
    <row r="6555" spans="22:22">
      <c r="V6555" s="16"/>
    </row>
    <row r="6556" spans="22:22">
      <c r="V6556" s="16"/>
    </row>
    <row r="6557" spans="22:22">
      <c r="V6557" s="16"/>
    </row>
    <row r="6558" spans="22:22">
      <c r="V6558" s="16"/>
    </row>
    <row r="6559" spans="22:22">
      <c r="V6559" s="16"/>
    </row>
    <row r="6560" spans="22:22">
      <c r="V6560" s="16"/>
    </row>
    <row r="6561" spans="22:22">
      <c r="V6561" s="16"/>
    </row>
    <row r="6562" spans="22:22">
      <c r="V6562" s="16"/>
    </row>
    <row r="6563" spans="22:22">
      <c r="V6563" s="16"/>
    </row>
    <row r="6564" spans="22:22">
      <c r="V6564" s="16"/>
    </row>
    <row r="6565" spans="22:22">
      <c r="V6565" s="16"/>
    </row>
    <row r="6566" spans="22:22">
      <c r="V6566" s="16"/>
    </row>
    <row r="6567" spans="22:22">
      <c r="V6567" s="16"/>
    </row>
    <row r="6568" spans="22:22">
      <c r="V6568" s="16"/>
    </row>
    <row r="6569" spans="22:22">
      <c r="V6569" s="16"/>
    </row>
    <row r="6570" spans="22:22">
      <c r="V6570" s="16"/>
    </row>
    <row r="6571" spans="22:22">
      <c r="V6571" s="16"/>
    </row>
    <row r="6572" spans="22:22">
      <c r="V6572" s="16"/>
    </row>
    <row r="6573" spans="22:22">
      <c r="V6573" s="16"/>
    </row>
    <row r="6574" spans="22:22">
      <c r="V6574" s="16"/>
    </row>
    <row r="6575" spans="22:22">
      <c r="V6575" s="16"/>
    </row>
    <row r="6576" spans="22:22">
      <c r="V6576" s="16"/>
    </row>
    <row r="6577" spans="22:22">
      <c r="V6577" s="16"/>
    </row>
    <row r="6578" spans="22:22">
      <c r="V6578" s="16"/>
    </row>
    <row r="6579" spans="22:22">
      <c r="V6579" s="16"/>
    </row>
    <row r="6580" spans="22:22">
      <c r="V6580" s="16"/>
    </row>
    <row r="6581" spans="22:22">
      <c r="V6581" s="16"/>
    </row>
    <row r="6582" spans="22:22">
      <c r="V6582" s="16"/>
    </row>
    <row r="6583" spans="22:22">
      <c r="V6583" s="16"/>
    </row>
    <row r="6584" spans="22:22">
      <c r="V6584" s="16"/>
    </row>
    <row r="6585" spans="22:22">
      <c r="V6585" s="16"/>
    </row>
    <row r="6586" spans="22:22">
      <c r="V6586" s="16"/>
    </row>
    <row r="6587" spans="22:22">
      <c r="V6587" s="16"/>
    </row>
    <row r="6588" spans="22:22">
      <c r="V6588" s="16"/>
    </row>
    <row r="6589" spans="22:22">
      <c r="V6589" s="16"/>
    </row>
    <row r="6590" spans="22:22">
      <c r="V6590" s="16"/>
    </row>
    <row r="6591" spans="22:22">
      <c r="V6591" s="16"/>
    </row>
    <row r="6592" spans="22:22">
      <c r="V6592" s="16"/>
    </row>
    <row r="6593" spans="22:22">
      <c r="V6593" s="16"/>
    </row>
    <row r="6594" spans="22:22">
      <c r="V6594" s="16"/>
    </row>
    <row r="6595" spans="22:22">
      <c r="V6595" s="16"/>
    </row>
    <row r="6596" spans="22:22">
      <c r="V6596" s="16"/>
    </row>
    <row r="6597" spans="22:22">
      <c r="V6597" s="16"/>
    </row>
    <row r="6598" spans="22:22">
      <c r="V6598" s="16"/>
    </row>
    <row r="6599" spans="22:22">
      <c r="V6599" s="16"/>
    </row>
    <row r="6600" spans="22:22">
      <c r="V6600" s="16"/>
    </row>
    <row r="6601" spans="22:22">
      <c r="V6601" s="16"/>
    </row>
    <row r="6602" spans="22:22">
      <c r="V6602" s="16"/>
    </row>
    <row r="6603" spans="22:22">
      <c r="V6603" s="16"/>
    </row>
    <row r="6604" spans="22:22">
      <c r="V6604" s="16"/>
    </row>
    <row r="6605" spans="22:22">
      <c r="V6605" s="16"/>
    </row>
    <row r="6606" spans="22:22">
      <c r="V6606" s="16"/>
    </row>
    <row r="6607" spans="22:22">
      <c r="V6607" s="16"/>
    </row>
    <row r="6608" spans="22:22">
      <c r="V6608" s="16"/>
    </row>
    <row r="6609" spans="22:22">
      <c r="V6609" s="16"/>
    </row>
    <row r="6610" spans="22:22">
      <c r="V6610" s="16"/>
    </row>
    <row r="6611" spans="22:22">
      <c r="V6611" s="16"/>
    </row>
    <row r="6612" spans="22:22">
      <c r="V6612" s="16"/>
    </row>
    <row r="6613" spans="22:22">
      <c r="V6613" s="16"/>
    </row>
    <row r="6614" spans="22:22">
      <c r="V6614" s="16"/>
    </row>
    <row r="6615" spans="22:22">
      <c r="V6615" s="16"/>
    </row>
    <row r="6616" spans="22:22">
      <c r="V6616" s="16"/>
    </row>
    <row r="6617" spans="22:22">
      <c r="V6617" s="16"/>
    </row>
    <row r="6618" spans="22:22">
      <c r="V6618" s="16"/>
    </row>
    <row r="6619" spans="22:22">
      <c r="V6619" s="16"/>
    </row>
    <row r="6620" spans="22:22">
      <c r="V6620" s="16"/>
    </row>
    <row r="6621" spans="22:22">
      <c r="V6621" s="16"/>
    </row>
    <row r="6622" spans="22:22">
      <c r="V6622" s="16"/>
    </row>
    <row r="6623" spans="22:22">
      <c r="V6623" s="16"/>
    </row>
    <row r="6624" spans="22:22">
      <c r="V6624" s="16"/>
    </row>
    <row r="6625" spans="22:22">
      <c r="V6625" s="16"/>
    </row>
    <row r="6626" spans="22:22">
      <c r="V6626" s="16"/>
    </row>
    <row r="6627" spans="22:22">
      <c r="V6627" s="16"/>
    </row>
    <row r="6628" spans="22:22">
      <c r="V6628" s="16"/>
    </row>
    <row r="6629" spans="22:22">
      <c r="V6629" s="16"/>
    </row>
    <row r="6630" spans="22:22">
      <c r="V6630" s="16"/>
    </row>
    <row r="6631" spans="22:22">
      <c r="V6631" s="16"/>
    </row>
    <row r="6632" spans="22:22">
      <c r="V6632" s="16"/>
    </row>
    <row r="6633" spans="22:22">
      <c r="V6633" s="16"/>
    </row>
    <row r="6634" spans="22:22">
      <c r="V6634" s="16"/>
    </row>
    <row r="6635" spans="22:22">
      <c r="V6635" s="16"/>
    </row>
    <row r="6636" spans="22:22">
      <c r="V6636" s="16"/>
    </row>
    <row r="6637" spans="22:22">
      <c r="V6637" s="16"/>
    </row>
    <row r="6638" spans="22:22">
      <c r="V6638" s="16"/>
    </row>
    <row r="6639" spans="22:22">
      <c r="V6639" s="16"/>
    </row>
    <row r="6640" spans="22:22">
      <c r="V6640" s="16"/>
    </row>
    <row r="6641" spans="22:22">
      <c r="V6641" s="16"/>
    </row>
    <row r="6642" spans="22:22">
      <c r="V6642" s="16"/>
    </row>
    <row r="6643" spans="22:22">
      <c r="V6643" s="16"/>
    </row>
    <row r="6644" spans="22:22">
      <c r="V6644" s="16"/>
    </row>
    <row r="6645" spans="22:22">
      <c r="V6645" s="16"/>
    </row>
    <row r="6646" spans="22:22">
      <c r="V6646" s="16"/>
    </row>
    <row r="6647" spans="22:22">
      <c r="V6647" s="16"/>
    </row>
    <row r="6648" spans="22:22">
      <c r="V6648" s="16"/>
    </row>
    <row r="6649" spans="22:22">
      <c r="V6649" s="16"/>
    </row>
    <row r="6650" spans="22:22">
      <c r="V6650" s="16"/>
    </row>
    <row r="6651" spans="22:22">
      <c r="V6651" s="16"/>
    </row>
    <row r="6652" spans="22:22">
      <c r="V6652" s="16"/>
    </row>
    <row r="6653" spans="22:22">
      <c r="V6653" s="16"/>
    </row>
    <row r="6654" spans="22:22">
      <c r="V6654" s="16"/>
    </row>
    <row r="6655" spans="22:22">
      <c r="V6655" s="16"/>
    </row>
    <row r="6656" spans="22:22">
      <c r="V6656" s="16"/>
    </row>
    <row r="6657" spans="22:22">
      <c r="V6657" s="16"/>
    </row>
    <row r="6658" spans="22:22">
      <c r="V6658" s="16"/>
    </row>
    <row r="6659" spans="22:22">
      <c r="V6659" s="16"/>
    </row>
    <row r="6660" spans="22:22">
      <c r="V6660" s="16"/>
    </row>
    <row r="6661" spans="22:22">
      <c r="V6661" s="16"/>
    </row>
    <row r="6662" spans="22:22">
      <c r="V6662" s="16"/>
    </row>
    <row r="6663" spans="22:22">
      <c r="V6663" s="16"/>
    </row>
    <row r="6664" spans="22:22">
      <c r="V6664" s="16"/>
    </row>
    <row r="6665" spans="22:22">
      <c r="V6665" s="16"/>
    </row>
    <row r="6666" spans="22:22">
      <c r="V6666" s="16"/>
    </row>
    <row r="6667" spans="22:22">
      <c r="V6667" s="16"/>
    </row>
    <row r="6668" spans="22:22">
      <c r="V6668" s="16"/>
    </row>
    <row r="6669" spans="22:22">
      <c r="V6669" s="16"/>
    </row>
    <row r="6670" spans="22:22">
      <c r="V6670" s="16"/>
    </row>
    <row r="6671" spans="22:22">
      <c r="V6671" s="16"/>
    </row>
    <row r="6672" spans="22:22">
      <c r="V6672" s="16"/>
    </row>
    <row r="6673" spans="22:22">
      <c r="V6673" s="16"/>
    </row>
    <row r="6674" spans="22:22">
      <c r="V6674" s="16"/>
    </row>
    <row r="6675" spans="22:22">
      <c r="V6675" s="16"/>
    </row>
    <row r="6676" spans="22:22">
      <c r="V6676" s="16"/>
    </row>
    <row r="6677" spans="22:22">
      <c r="V6677" s="16"/>
    </row>
    <row r="6678" spans="22:22">
      <c r="V6678" s="16"/>
    </row>
    <row r="6679" spans="22:22">
      <c r="V6679" s="16"/>
    </row>
    <row r="6680" spans="22:22">
      <c r="V6680" s="16"/>
    </row>
    <row r="6681" spans="22:22">
      <c r="V6681" s="16"/>
    </row>
    <row r="6682" spans="22:22">
      <c r="V6682" s="16"/>
    </row>
    <row r="6683" spans="22:22">
      <c r="V6683" s="16"/>
    </row>
    <row r="6684" spans="22:22">
      <c r="V6684" s="16"/>
    </row>
    <row r="6685" spans="22:22">
      <c r="V6685" s="16"/>
    </row>
    <row r="6686" spans="22:22">
      <c r="V6686" s="16"/>
    </row>
    <row r="6687" spans="22:22">
      <c r="V6687" s="16"/>
    </row>
    <row r="6688" spans="22:22">
      <c r="V6688" s="16"/>
    </row>
    <row r="6689" spans="22:22">
      <c r="V6689" s="16"/>
    </row>
    <row r="6690" spans="22:22">
      <c r="V6690" s="16"/>
    </row>
    <row r="6691" spans="22:22">
      <c r="V6691" s="16"/>
    </row>
    <row r="6692" spans="22:22">
      <c r="V6692" s="16"/>
    </row>
    <row r="6693" spans="22:22">
      <c r="V6693" s="16"/>
    </row>
    <row r="6694" spans="22:22">
      <c r="V6694" s="16"/>
    </row>
    <row r="6695" spans="22:22">
      <c r="V6695" s="16"/>
    </row>
    <row r="6696" spans="22:22">
      <c r="V6696" s="16"/>
    </row>
    <row r="6697" spans="22:22">
      <c r="V6697" s="16"/>
    </row>
    <row r="6698" spans="22:22">
      <c r="V6698" s="16"/>
    </row>
    <row r="6699" spans="22:22">
      <c r="V6699" s="16"/>
    </row>
    <row r="6700" spans="22:22">
      <c r="V6700" s="16"/>
    </row>
    <row r="6701" spans="22:22">
      <c r="V6701" s="16"/>
    </row>
    <row r="6702" spans="22:22">
      <c r="V6702" s="16"/>
    </row>
    <row r="6703" spans="22:22">
      <c r="V6703" s="16"/>
    </row>
    <row r="6704" spans="22:22">
      <c r="V6704" s="16"/>
    </row>
    <row r="6705" spans="22:22">
      <c r="V6705" s="16"/>
    </row>
    <row r="6706" spans="22:22">
      <c r="V6706" s="16"/>
    </row>
    <row r="6707" spans="22:22">
      <c r="V6707" s="16"/>
    </row>
    <row r="6708" spans="22:22">
      <c r="V6708" s="16"/>
    </row>
    <row r="6709" spans="22:22">
      <c r="V6709" s="16"/>
    </row>
    <row r="6710" spans="22:22">
      <c r="V6710" s="16"/>
    </row>
    <row r="6711" spans="22:22">
      <c r="V6711" s="16"/>
    </row>
    <row r="6712" spans="22:22">
      <c r="V6712" s="16"/>
    </row>
    <row r="6713" spans="22:22">
      <c r="V6713" s="16"/>
    </row>
    <row r="6714" spans="22:22">
      <c r="V6714" s="16"/>
    </row>
    <row r="6715" spans="22:22">
      <c r="V6715" s="16"/>
    </row>
    <row r="6716" spans="22:22">
      <c r="V6716" s="16"/>
    </row>
    <row r="6717" spans="22:22">
      <c r="V6717" s="16"/>
    </row>
    <row r="6718" spans="22:22">
      <c r="V6718" s="16"/>
    </row>
    <row r="6719" spans="22:22">
      <c r="V6719" s="16"/>
    </row>
    <row r="6720" spans="22:22">
      <c r="V6720" s="16"/>
    </row>
    <row r="6721" spans="22:22">
      <c r="V6721" s="16"/>
    </row>
    <row r="6722" spans="22:22">
      <c r="V6722" s="16"/>
    </row>
    <row r="6723" spans="22:22">
      <c r="V6723" s="16"/>
    </row>
    <row r="6724" spans="22:22">
      <c r="V6724" s="16"/>
    </row>
    <row r="6725" spans="22:22">
      <c r="V6725" s="16"/>
    </row>
    <row r="6726" spans="22:22">
      <c r="V6726" s="16"/>
    </row>
    <row r="6727" spans="22:22">
      <c r="V6727" s="16"/>
    </row>
    <row r="6728" spans="22:22">
      <c r="V6728" s="16"/>
    </row>
    <row r="6729" spans="22:22">
      <c r="V6729" s="16"/>
    </row>
    <row r="6730" spans="22:22">
      <c r="V6730" s="16"/>
    </row>
    <row r="6731" spans="22:22">
      <c r="V6731" s="16"/>
    </row>
    <row r="6732" spans="22:22">
      <c r="V6732" s="16"/>
    </row>
    <row r="6733" spans="22:22">
      <c r="V6733" s="16"/>
    </row>
    <row r="6734" spans="22:22">
      <c r="V6734" s="16"/>
    </row>
    <row r="6735" spans="22:22">
      <c r="V6735" s="16"/>
    </row>
    <row r="6736" spans="22:22">
      <c r="V6736" s="16"/>
    </row>
    <row r="6737" spans="22:22">
      <c r="V6737" s="16"/>
    </row>
    <row r="6738" spans="22:22">
      <c r="V6738" s="16"/>
    </row>
    <row r="6739" spans="22:22">
      <c r="V6739" s="16"/>
    </row>
    <row r="6740" spans="22:22">
      <c r="V6740" s="16"/>
    </row>
    <row r="6741" spans="22:22">
      <c r="V6741" s="16"/>
    </row>
    <row r="6742" spans="22:22">
      <c r="V6742" s="16"/>
    </row>
    <row r="6743" spans="22:22">
      <c r="V6743" s="16"/>
    </row>
    <row r="6744" spans="22:22">
      <c r="V6744" s="16"/>
    </row>
    <row r="6745" spans="22:22">
      <c r="V6745" s="16"/>
    </row>
    <row r="6746" spans="22:22">
      <c r="V6746" s="16"/>
    </row>
    <row r="6747" spans="22:22">
      <c r="V6747" s="16"/>
    </row>
    <row r="6748" spans="22:22">
      <c r="V6748" s="16"/>
    </row>
    <row r="6749" spans="22:22">
      <c r="V6749" s="16"/>
    </row>
    <row r="6750" spans="22:22">
      <c r="V6750" s="16"/>
    </row>
    <row r="6751" spans="22:22">
      <c r="V6751" s="16"/>
    </row>
    <row r="6752" spans="22:22">
      <c r="V6752" s="16"/>
    </row>
    <row r="6753" spans="22:22">
      <c r="V6753" s="16"/>
    </row>
    <row r="6754" spans="22:22">
      <c r="V6754" s="16"/>
    </row>
    <row r="6755" spans="22:22">
      <c r="V6755" s="16"/>
    </row>
    <row r="6756" spans="22:22">
      <c r="V6756" s="16"/>
    </row>
    <row r="6757" spans="22:22">
      <c r="V6757" s="16"/>
    </row>
    <row r="6758" spans="22:22">
      <c r="V6758" s="16"/>
    </row>
    <row r="6759" spans="22:22">
      <c r="V6759" s="16"/>
    </row>
    <row r="6760" spans="22:22">
      <c r="V6760" s="16"/>
    </row>
    <row r="6761" spans="22:22">
      <c r="V6761" s="16"/>
    </row>
    <row r="6762" spans="22:22">
      <c r="V6762" s="16"/>
    </row>
    <row r="6763" spans="22:22">
      <c r="V6763" s="16"/>
    </row>
    <row r="6764" spans="22:22">
      <c r="V6764" s="16"/>
    </row>
    <row r="6765" spans="22:22">
      <c r="V6765" s="16"/>
    </row>
    <row r="6766" spans="22:22">
      <c r="V6766" s="16"/>
    </row>
    <row r="6767" spans="22:22">
      <c r="V6767" s="16"/>
    </row>
    <row r="6768" spans="22:22">
      <c r="V6768" s="16"/>
    </row>
    <row r="6769" spans="22:22">
      <c r="V6769" s="16"/>
    </row>
    <row r="6770" spans="22:22">
      <c r="V6770" s="16"/>
    </row>
    <row r="6771" spans="22:22">
      <c r="V6771" s="16"/>
    </row>
    <row r="6772" spans="22:22">
      <c r="V6772" s="16"/>
    </row>
    <row r="6773" spans="22:22">
      <c r="V6773" s="16"/>
    </row>
    <row r="6774" spans="22:22">
      <c r="V6774" s="16"/>
    </row>
    <row r="6775" spans="22:22">
      <c r="V6775" s="16"/>
    </row>
    <row r="6776" spans="22:22">
      <c r="V6776" s="16"/>
    </row>
    <row r="6777" spans="22:22">
      <c r="V6777" s="16"/>
    </row>
    <row r="6778" spans="22:22">
      <c r="V6778" s="16"/>
    </row>
    <row r="6779" spans="22:22">
      <c r="V6779" s="16"/>
    </row>
    <row r="6780" spans="22:22">
      <c r="V6780" s="16"/>
    </row>
    <row r="6781" spans="22:22">
      <c r="V6781" s="16"/>
    </row>
    <row r="6782" spans="22:22">
      <c r="V6782" s="16"/>
    </row>
    <row r="6783" spans="22:22">
      <c r="V6783" s="16"/>
    </row>
    <row r="6784" spans="22:22">
      <c r="V6784" s="16"/>
    </row>
    <row r="6785" spans="22:22">
      <c r="V6785" s="16"/>
    </row>
    <row r="6786" spans="22:22">
      <c r="V6786" s="16"/>
    </row>
    <row r="6787" spans="22:22">
      <c r="V6787" s="16"/>
    </row>
    <row r="6788" spans="22:22">
      <c r="V6788" s="16"/>
    </row>
    <row r="6789" spans="22:22">
      <c r="V6789" s="16"/>
    </row>
    <row r="6790" spans="22:22">
      <c r="V6790" s="16"/>
    </row>
    <row r="6791" spans="22:22">
      <c r="V6791" s="16"/>
    </row>
    <row r="6792" spans="22:22">
      <c r="V6792" s="16"/>
    </row>
    <row r="6793" spans="22:22">
      <c r="V6793" s="16"/>
    </row>
    <row r="6794" spans="22:22">
      <c r="V6794" s="16"/>
    </row>
    <row r="6795" spans="22:22">
      <c r="V6795" s="16"/>
    </row>
    <row r="6796" spans="22:22">
      <c r="V6796" s="16"/>
    </row>
    <row r="6797" spans="22:22">
      <c r="V6797" s="16"/>
    </row>
    <row r="6798" spans="22:22">
      <c r="V6798" s="16"/>
    </row>
    <row r="6799" spans="22:22">
      <c r="V6799" s="16"/>
    </row>
    <row r="6800" spans="22:22">
      <c r="V6800" s="16"/>
    </row>
    <row r="6801" spans="22:22">
      <c r="V6801" s="16"/>
    </row>
    <row r="6802" spans="22:22">
      <c r="V6802" s="16"/>
    </row>
    <row r="6803" spans="22:22">
      <c r="V6803" s="16"/>
    </row>
    <row r="6804" spans="22:22">
      <c r="V6804" s="16"/>
    </row>
    <row r="6805" spans="22:22">
      <c r="V6805" s="16"/>
    </row>
    <row r="6806" spans="22:22">
      <c r="V6806" s="16"/>
    </row>
    <row r="6807" spans="22:22">
      <c r="V6807" s="16"/>
    </row>
    <row r="6808" spans="22:22">
      <c r="V6808" s="16"/>
    </row>
    <row r="6809" spans="22:22">
      <c r="V6809" s="16"/>
    </row>
    <row r="6810" spans="22:22">
      <c r="V6810" s="16"/>
    </row>
    <row r="6811" spans="22:22">
      <c r="V6811" s="16"/>
    </row>
    <row r="6812" spans="22:22">
      <c r="V6812" s="16"/>
    </row>
    <row r="6813" spans="22:22">
      <c r="V6813" s="16"/>
    </row>
    <row r="6814" spans="22:22">
      <c r="V6814" s="16"/>
    </row>
    <row r="6815" spans="22:22">
      <c r="V6815" s="16"/>
    </row>
    <row r="6816" spans="22:22">
      <c r="V6816" s="16"/>
    </row>
    <row r="6817" spans="22:22">
      <c r="V6817" s="16"/>
    </row>
    <row r="6818" spans="22:22">
      <c r="V6818" s="16"/>
    </row>
    <row r="6819" spans="22:22">
      <c r="V6819" s="16"/>
    </row>
    <row r="6820" spans="22:22">
      <c r="V6820" s="16"/>
    </row>
    <row r="6821" spans="22:22">
      <c r="V6821" s="16"/>
    </row>
    <row r="6822" spans="22:22">
      <c r="V6822" s="16"/>
    </row>
    <row r="6823" spans="22:22">
      <c r="V6823" s="16"/>
    </row>
    <row r="6824" spans="22:22">
      <c r="V6824" s="16"/>
    </row>
    <row r="6825" spans="22:22">
      <c r="V6825" s="16"/>
    </row>
    <row r="6826" spans="22:22">
      <c r="V6826" s="16"/>
    </row>
    <row r="6827" spans="22:22">
      <c r="V6827" s="16"/>
    </row>
    <row r="6828" spans="22:22">
      <c r="V6828" s="16"/>
    </row>
    <row r="6829" spans="22:22">
      <c r="V6829" s="16"/>
    </row>
    <row r="6830" spans="22:22">
      <c r="V6830" s="16"/>
    </row>
    <row r="6831" spans="22:22">
      <c r="V6831" s="16"/>
    </row>
    <row r="6832" spans="22:22">
      <c r="V6832" s="16"/>
    </row>
    <row r="6833" spans="22:22">
      <c r="V6833" s="16"/>
    </row>
    <row r="6834" spans="22:22">
      <c r="V6834" s="16"/>
    </row>
    <row r="6835" spans="22:22">
      <c r="V6835" s="16"/>
    </row>
    <row r="6836" spans="22:22">
      <c r="V6836" s="16"/>
    </row>
    <row r="6837" spans="22:22">
      <c r="V6837" s="16"/>
    </row>
    <row r="6838" spans="22:22">
      <c r="V6838" s="16"/>
    </row>
    <row r="6839" spans="22:22">
      <c r="V6839" s="16"/>
    </row>
    <row r="6840" spans="22:22">
      <c r="V6840" s="16"/>
    </row>
    <row r="6841" spans="22:22">
      <c r="V6841" s="16"/>
    </row>
    <row r="6842" spans="22:22">
      <c r="V6842" s="16"/>
    </row>
    <row r="6843" spans="22:22">
      <c r="V6843" s="16"/>
    </row>
    <row r="6844" spans="22:22">
      <c r="V6844" s="16"/>
    </row>
    <row r="6845" spans="22:22">
      <c r="V6845" s="16"/>
    </row>
    <row r="6846" spans="22:22">
      <c r="V6846" s="16"/>
    </row>
    <row r="6847" spans="22:22">
      <c r="V6847" s="16"/>
    </row>
    <row r="6848" spans="22:22">
      <c r="V6848" s="16"/>
    </row>
    <row r="6849" spans="22:22">
      <c r="V6849" s="16"/>
    </row>
    <row r="6850" spans="22:22">
      <c r="V6850" s="16"/>
    </row>
    <row r="6851" spans="22:22">
      <c r="V6851" s="16"/>
    </row>
    <row r="6852" spans="22:22">
      <c r="V6852" s="16"/>
    </row>
    <row r="6853" spans="22:22">
      <c r="V6853" s="16"/>
    </row>
    <row r="6854" spans="22:22">
      <c r="V6854" s="16"/>
    </row>
    <row r="6855" spans="22:22">
      <c r="V6855" s="16"/>
    </row>
    <row r="6856" spans="22:22">
      <c r="V6856" s="16"/>
    </row>
    <row r="6857" spans="22:22">
      <c r="V6857" s="16"/>
    </row>
    <row r="6858" spans="22:22">
      <c r="V6858" s="16"/>
    </row>
    <row r="6859" spans="22:22">
      <c r="V6859" s="16"/>
    </row>
    <row r="6860" spans="22:22">
      <c r="V6860" s="16"/>
    </row>
    <row r="6861" spans="22:22">
      <c r="V6861" s="16"/>
    </row>
    <row r="6862" spans="22:22">
      <c r="V6862" s="16"/>
    </row>
    <row r="6863" spans="22:22">
      <c r="V6863" s="16"/>
    </row>
    <row r="6864" spans="22:22">
      <c r="V6864" s="16"/>
    </row>
    <row r="6865" spans="22:22">
      <c r="V6865" s="16"/>
    </row>
    <row r="6866" spans="22:22">
      <c r="V6866" s="16"/>
    </row>
    <row r="6867" spans="22:22">
      <c r="V6867" s="16"/>
    </row>
    <row r="6868" spans="22:22">
      <c r="V6868" s="16"/>
    </row>
    <row r="6869" spans="22:22">
      <c r="V6869" s="16"/>
    </row>
    <row r="6870" spans="22:22">
      <c r="V6870" s="16"/>
    </row>
    <row r="6871" spans="22:22">
      <c r="V6871" s="16"/>
    </row>
    <row r="6872" spans="22:22">
      <c r="V6872" s="16"/>
    </row>
    <row r="6873" spans="22:22">
      <c r="V6873" s="16"/>
    </row>
    <row r="6874" spans="22:22">
      <c r="V6874" s="16"/>
    </row>
    <row r="6875" spans="22:22">
      <c r="V6875" s="16"/>
    </row>
    <row r="6876" spans="22:22">
      <c r="V6876" s="16"/>
    </row>
    <row r="6877" spans="22:22">
      <c r="V6877" s="16"/>
    </row>
    <row r="6878" spans="22:22">
      <c r="V6878" s="16"/>
    </row>
    <row r="6879" spans="22:22">
      <c r="V6879" s="16"/>
    </row>
    <row r="6880" spans="22:22">
      <c r="V6880" s="16"/>
    </row>
    <row r="6881" spans="22:22">
      <c r="V6881" s="16"/>
    </row>
    <row r="6882" spans="22:22">
      <c r="V6882" s="16"/>
    </row>
    <row r="6883" spans="22:22">
      <c r="V6883" s="16"/>
    </row>
    <row r="6884" spans="22:22">
      <c r="V6884" s="16"/>
    </row>
    <row r="6885" spans="22:22">
      <c r="V6885" s="16"/>
    </row>
    <row r="6886" spans="22:22">
      <c r="V6886" s="16"/>
    </row>
    <row r="6887" spans="22:22">
      <c r="V6887" s="16"/>
    </row>
    <row r="6888" spans="22:22">
      <c r="V6888" s="16"/>
    </row>
    <row r="6889" spans="22:22">
      <c r="V6889" s="16"/>
    </row>
    <row r="6890" spans="22:22">
      <c r="V6890" s="16"/>
    </row>
    <row r="6891" spans="22:22">
      <c r="V6891" s="16"/>
    </row>
    <row r="6892" spans="22:22">
      <c r="V6892" s="16"/>
    </row>
    <row r="6893" spans="22:22">
      <c r="V6893" s="16"/>
    </row>
    <row r="6894" spans="22:22">
      <c r="V6894" s="16"/>
    </row>
    <row r="6895" spans="22:22">
      <c r="V6895" s="16"/>
    </row>
    <row r="6896" spans="22:22">
      <c r="V6896" s="16"/>
    </row>
    <row r="6897" spans="22:22">
      <c r="V6897" s="16"/>
    </row>
    <row r="6898" spans="22:22">
      <c r="V6898" s="16"/>
    </row>
    <row r="6899" spans="22:22">
      <c r="V6899" s="16"/>
    </row>
    <row r="6900" spans="22:22">
      <c r="V6900" s="16"/>
    </row>
    <row r="6901" spans="22:22">
      <c r="V6901" s="16"/>
    </row>
    <row r="6902" spans="22:22">
      <c r="V6902" s="16"/>
    </row>
    <row r="6903" spans="22:22">
      <c r="V6903" s="16"/>
    </row>
    <row r="6904" spans="22:22">
      <c r="V6904" s="16"/>
    </row>
    <row r="6905" spans="22:22">
      <c r="V6905" s="16"/>
    </row>
    <row r="6906" spans="22:22">
      <c r="V6906" s="16"/>
    </row>
    <row r="6907" spans="22:22">
      <c r="V6907" s="16"/>
    </row>
    <row r="6908" spans="22:22">
      <c r="V6908" s="16"/>
    </row>
    <row r="6909" spans="22:22">
      <c r="V6909" s="16"/>
    </row>
    <row r="6910" spans="22:22">
      <c r="V6910" s="16"/>
    </row>
    <row r="6911" spans="22:22">
      <c r="V6911" s="16"/>
    </row>
    <row r="6912" spans="22:22">
      <c r="V6912" s="16"/>
    </row>
    <row r="6913" spans="22:22">
      <c r="V6913" s="16"/>
    </row>
    <row r="6914" spans="22:22">
      <c r="V6914" s="16"/>
    </row>
    <row r="6915" spans="22:22">
      <c r="V6915" s="16"/>
    </row>
    <row r="6916" spans="22:22">
      <c r="V6916" s="16"/>
    </row>
    <row r="6917" spans="22:22">
      <c r="V6917" s="16"/>
    </row>
    <row r="6918" spans="22:22">
      <c r="V6918" s="16"/>
    </row>
    <row r="6919" spans="22:22">
      <c r="V6919" s="16"/>
    </row>
    <row r="6920" spans="22:22">
      <c r="V6920" s="16"/>
    </row>
    <row r="6921" spans="22:22">
      <c r="V6921" s="16"/>
    </row>
    <row r="6922" spans="22:22">
      <c r="V6922" s="16"/>
    </row>
    <row r="6923" spans="22:22">
      <c r="V6923" s="16"/>
    </row>
    <row r="6924" spans="22:22">
      <c r="V6924" s="16"/>
    </row>
    <row r="6925" spans="22:22">
      <c r="V6925" s="16"/>
    </row>
    <row r="6926" spans="22:22">
      <c r="V6926" s="16"/>
    </row>
    <row r="6927" spans="22:22">
      <c r="V6927" s="16"/>
    </row>
    <row r="6928" spans="22:22">
      <c r="V6928" s="16"/>
    </row>
    <row r="6929" spans="22:22">
      <c r="V6929" s="16"/>
    </row>
    <row r="6930" spans="22:22">
      <c r="V6930" s="16"/>
    </row>
    <row r="6931" spans="22:22">
      <c r="V6931" s="16"/>
    </row>
    <row r="6932" spans="22:22">
      <c r="V6932" s="16"/>
    </row>
    <row r="6933" spans="22:22">
      <c r="V6933" s="16"/>
    </row>
    <row r="6934" spans="22:22">
      <c r="V6934" s="16"/>
    </row>
    <row r="6935" spans="22:22">
      <c r="V6935" s="16"/>
    </row>
    <row r="6936" spans="22:22">
      <c r="V6936" s="16"/>
    </row>
    <row r="6937" spans="22:22">
      <c r="V6937" s="16"/>
    </row>
    <row r="6938" spans="22:22">
      <c r="V6938" s="16"/>
    </row>
    <row r="6939" spans="22:22">
      <c r="V6939" s="16"/>
    </row>
    <row r="6940" spans="22:22">
      <c r="V6940" s="16"/>
    </row>
    <row r="6941" spans="22:22">
      <c r="V6941" s="16"/>
    </row>
    <row r="6942" spans="22:22">
      <c r="V6942" s="16"/>
    </row>
    <row r="6943" spans="22:22">
      <c r="V6943" s="16"/>
    </row>
    <row r="6944" spans="22:22">
      <c r="V6944" s="16"/>
    </row>
    <row r="6945" spans="22:22">
      <c r="V6945" s="16"/>
    </row>
    <row r="6946" spans="22:22">
      <c r="V6946" s="16"/>
    </row>
    <row r="6947" spans="22:22">
      <c r="V6947" s="16"/>
    </row>
    <row r="6948" spans="22:22">
      <c r="V6948" s="16"/>
    </row>
    <row r="6949" spans="22:22">
      <c r="V6949" s="16"/>
    </row>
    <row r="6950" spans="22:22">
      <c r="V6950" s="16"/>
    </row>
    <row r="6951" spans="22:22">
      <c r="V6951" s="16"/>
    </row>
    <row r="6952" spans="22:22">
      <c r="V6952" s="16"/>
    </row>
    <row r="6953" spans="22:22">
      <c r="V6953" s="16"/>
    </row>
    <row r="6954" spans="22:22">
      <c r="V6954" s="16"/>
    </row>
    <row r="6955" spans="22:22">
      <c r="V6955" s="16"/>
    </row>
    <row r="6956" spans="22:22">
      <c r="V6956" s="16"/>
    </row>
    <row r="6957" spans="22:22">
      <c r="V6957" s="16"/>
    </row>
    <row r="6958" spans="22:22">
      <c r="V6958" s="16"/>
    </row>
    <row r="6959" spans="22:22">
      <c r="V6959" s="16"/>
    </row>
    <row r="6960" spans="22:22">
      <c r="V6960" s="16"/>
    </row>
    <row r="6961" spans="22:22">
      <c r="V6961" s="16"/>
    </row>
    <row r="6962" spans="22:22">
      <c r="V6962" s="16"/>
    </row>
    <row r="6963" spans="22:22">
      <c r="V6963" s="16"/>
    </row>
    <row r="6964" spans="22:22">
      <c r="V6964" s="16"/>
    </row>
    <row r="6965" spans="22:22">
      <c r="V6965" s="16"/>
    </row>
    <row r="6966" spans="22:22">
      <c r="V6966" s="16"/>
    </row>
    <row r="6967" spans="22:22">
      <c r="V6967" s="16"/>
    </row>
    <row r="6968" spans="22:22">
      <c r="V6968" s="16"/>
    </row>
    <row r="6969" spans="22:22">
      <c r="V6969" s="16"/>
    </row>
    <row r="6970" spans="22:22">
      <c r="V6970" s="16"/>
    </row>
    <row r="6971" spans="22:22">
      <c r="V6971" s="16"/>
    </row>
    <row r="6972" spans="22:22">
      <c r="V6972" s="16"/>
    </row>
    <row r="6973" spans="22:22">
      <c r="V6973" s="16"/>
    </row>
    <row r="6974" spans="22:22">
      <c r="V6974" s="16"/>
    </row>
    <row r="6975" spans="22:22">
      <c r="V6975" s="16"/>
    </row>
    <row r="6976" spans="22:22">
      <c r="V6976" s="16"/>
    </row>
    <row r="6977" spans="22:22">
      <c r="V6977" s="16"/>
    </row>
    <row r="6978" spans="22:22">
      <c r="V6978" s="16"/>
    </row>
    <row r="6979" spans="22:22">
      <c r="V6979" s="16"/>
    </row>
    <row r="6980" spans="22:22">
      <c r="V6980" s="16"/>
    </row>
    <row r="6981" spans="22:22">
      <c r="V6981" s="16"/>
    </row>
    <row r="6982" spans="22:22">
      <c r="V6982" s="16"/>
    </row>
    <row r="6983" spans="22:22">
      <c r="V6983" s="16"/>
    </row>
    <row r="6984" spans="22:22">
      <c r="V6984" s="16"/>
    </row>
    <row r="6985" spans="22:22">
      <c r="V6985" s="16"/>
    </row>
    <row r="6986" spans="22:22">
      <c r="V6986" s="16"/>
    </row>
    <row r="6987" spans="22:22">
      <c r="V6987" s="16"/>
    </row>
    <row r="6988" spans="22:22">
      <c r="V6988" s="16"/>
    </row>
    <row r="6989" spans="22:22">
      <c r="V6989" s="16"/>
    </row>
    <row r="6990" spans="22:22">
      <c r="V6990" s="16"/>
    </row>
    <row r="6991" spans="22:22">
      <c r="V6991" s="16"/>
    </row>
    <row r="6992" spans="22:22">
      <c r="V6992" s="16"/>
    </row>
    <row r="6993" spans="22:22">
      <c r="V6993" s="16"/>
    </row>
    <row r="6994" spans="22:22">
      <c r="V6994" s="16"/>
    </row>
    <row r="6995" spans="22:22">
      <c r="V6995" s="16"/>
    </row>
    <row r="6996" spans="22:22">
      <c r="V6996" s="16"/>
    </row>
    <row r="6997" spans="22:22">
      <c r="V6997" s="16"/>
    </row>
    <row r="6998" spans="22:22">
      <c r="V6998" s="16"/>
    </row>
    <row r="6999" spans="22:22">
      <c r="V6999" s="16"/>
    </row>
    <row r="7000" spans="22:22">
      <c r="V7000" s="16"/>
    </row>
    <row r="7001" spans="22:22">
      <c r="V7001" s="16"/>
    </row>
    <row r="7002" spans="22:22">
      <c r="V7002" s="16"/>
    </row>
    <row r="7003" spans="22:22">
      <c r="V7003" s="16"/>
    </row>
    <row r="7004" spans="22:22">
      <c r="V7004" s="16"/>
    </row>
    <row r="7005" spans="22:22">
      <c r="V7005" s="16"/>
    </row>
    <row r="7006" spans="22:22">
      <c r="V7006" s="16"/>
    </row>
    <row r="7007" spans="22:22">
      <c r="V7007" s="16"/>
    </row>
    <row r="7008" spans="22:22">
      <c r="V7008" s="16"/>
    </row>
    <row r="7009" spans="22:22">
      <c r="V7009" s="16"/>
    </row>
    <row r="7010" spans="22:22">
      <c r="V7010" s="16"/>
    </row>
    <row r="7011" spans="22:22">
      <c r="V7011" s="16"/>
    </row>
    <row r="7012" spans="22:22">
      <c r="V7012" s="16"/>
    </row>
    <row r="7013" spans="22:22">
      <c r="V7013" s="16"/>
    </row>
    <row r="7014" spans="22:22">
      <c r="V7014" s="16"/>
    </row>
    <row r="7015" spans="22:22">
      <c r="V7015" s="16"/>
    </row>
    <row r="7016" spans="22:22">
      <c r="V7016" s="16"/>
    </row>
    <row r="7017" spans="22:22">
      <c r="V7017" s="16"/>
    </row>
    <row r="7018" spans="22:22">
      <c r="V7018" s="16"/>
    </row>
    <row r="7019" spans="22:22">
      <c r="V7019" s="16"/>
    </row>
    <row r="7020" spans="22:22">
      <c r="V7020" s="16"/>
    </row>
    <row r="7021" spans="22:22">
      <c r="V7021" s="16"/>
    </row>
    <row r="7022" spans="22:22">
      <c r="V7022" s="16"/>
    </row>
    <row r="7023" spans="22:22">
      <c r="V7023" s="16"/>
    </row>
    <row r="7024" spans="22:22">
      <c r="V7024" s="16"/>
    </row>
    <row r="7025" spans="22:22">
      <c r="V7025" s="16"/>
    </row>
    <row r="7026" spans="22:22">
      <c r="V7026" s="16"/>
    </row>
    <row r="7027" spans="22:22">
      <c r="V7027" s="16"/>
    </row>
    <row r="7028" spans="22:22">
      <c r="V7028" s="16"/>
    </row>
    <row r="7029" spans="22:22">
      <c r="V7029" s="16"/>
    </row>
    <row r="7030" spans="22:22">
      <c r="V7030" s="16"/>
    </row>
    <row r="7031" spans="22:22">
      <c r="V7031" s="16"/>
    </row>
    <row r="7032" spans="22:22">
      <c r="V7032" s="16"/>
    </row>
    <row r="7033" spans="22:22">
      <c r="V7033" s="16"/>
    </row>
    <row r="7034" spans="22:22">
      <c r="V7034" s="16"/>
    </row>
    <row r="7035" spans="22:22">
      <c r="V7035" s="16"/>
    </row>
    <row r="7036" spans="22:22">
      <c r="V7036" s="16"/>
    </row>
    <row r="7037" spans="22:22">
      <c r="V7037" s="16"/>
    </row>
    <row r="7038" spans="22:22">
      <c r="V7038" s="16"/>
    </row>
    <row r="7039" spans="22:22">
      <c r="V7039" s="16"/>
    </row>
    <row r="7040" spans="22:22">
      <c r="V7040" s="16"/>
    </row>
    <row r="7041" spans="22:22">
      <c r="V7041" s="16"/>
    </row>
    <row r="7042" spans="22:22">
      <c r="V7042" s="16"/>
    </row>
    <row r="7043" spans="22:22">
      <c r="V7043" s="16"/>
    </row>
    <row r="7044" spans="22:22">
      <c r="V7044" s="16"/>
    </row>
    <row r="7045" spans="22:22">
      <c r="V7045" s="16"/>
    </row>
    <row r="7046" spans="22:22">
      <c r="V7046" s="16"/>
    </row>
    <row r="7047" spans="22:22">
      <c r="V7047" s="16"/>
    </row>
    <row r="7048" spans="22:22">
      <c r="V7048" s="16"/>
    </row>
    <row r="7049" spans="22:22">
      <c r="V7049" s="16"/>
    </row>
    <row r="7050" spans="22:22">
      <c r="V7050" s="16"/>
    </row>
    <row r="7051" spans="22:22">
      <c r="V7051" s="16"/>
    </row>
    <row r="7052" spans="22:22">
      <c r="V7052" s="16"/>
    </row>
    <row r="7053" spans="22:22">
      <c r="V7053" s="16"/>
    </row>
    <row r="7054" spans="22:22">
      <c r="V7054" s="16"/>
    </row>
    <row r="7055" spans="22:22">
      <c r="V7055" s="16"/>
    </row>
    <row r="7056" spans="22:22">
      <c r="V7056" s="16"/>
    </row>
    <row r="7057" spans="22:22">
      <c r="V7057" s="16"/>
    </row>
    <row r="7058" spans="22:22">
      <c r="V7058" s="16"/>
    </row>
    <row r="7059" spans="22:22">
      <c r="V7059" s="16"/>
    </row>
    <row r="7060" spans="22:22">
      <c r="V7060" s="16"/>
    </row>
    <row r="7061" spans="22:22">
      <c r="V7061" s="16"/>
    </row>
    <row r="7062" spans="22:22">
      <c r="V7062" s="16"/>
    </row>
    <row r="7063" spans="22:22">
      <c r="V7063" s="16"/>
    </row>
    <row r="7064" spans="22:22">
      <c r="V7064" s="16"/>
    </row>
    <row r="7065" spans="22:22">
      <c r="V7065" s="16"/>
    </row>
    <row r="7066" spans="22:22">
      <c r="V7066" s="16"/>
    </row>
    <row r="7067" spans="22:22">
      <c r="V7067" s="16"/>
    </row>
    <row r="7068" spans="22:22">
      <c r="V7068" s="16"/>
    </row>
    <row r="7069" spans="22:22">
      <c r="V7069" s="16"/>
    </row>
    <row r="7070" spans="22:22">
      <c r="V7070" s="16"/>
    </row>
    <row r="7071" spans="22:22">
      <c r="V7071" s="16"/>
    </row>
    <row r="7072" spans="22:22">
      <c r="V7072" s="16"/>
    </row>
    <row r="7073" spans="22:22">
      <c r="V7073" s="16"/>
    </row>
    <row r="7074" spans="22:22">
      <c r="V7074" s="16"/>
    </row>
    <row r="7075" spans="22:22">
      <c r="V7075" s="16"/>
    </row>
    <row r="7076" spans="22:22">
      <c r="V7076" s="16"/>
    </row>
    <row r="7077" spans="22:22">
      <c r="V7077" s="16"/>
    </row>
    <row r="7078" spans="22:22">
      <c r="V7078" s="16"/>
    </row>
    <row r="7079" spans="22:22">
      <c r="V7079" s="16"/>
    </row>
    <row r="7080" spans="22:22">
      <c r="V7080" s="16"/>
    </row>
    <row r="7081" spans="22:22">
      <c r="V7081" s="16"/>
    </row>
    <row r="7082" spans="22:22">
      <c r="V7082" s="16"/>
    </row>
    <row r="7083" spans="22:22">
      <c r="V7083" s="16"/>
    </row>
    <row r="7084" spans="22:22">
      <c r="V7084" s="16"/>
    </row>
    <row r="7085" spans="22:22">
      <c r="V7085" s="16"/>
    </row>
    <row r="7086" spans="22:22">
      <c r="V7086" s="16"/>
    </row>
    <row r="7087" spans="22:22">
      <c r="V7087" s="16"/>
    </row>
    <row r="7088" spans="22:22">
      <c r="V7088" s="16"/>
    </row>
    <row r="7089" spans="22:22">
      <c r="V7089" s="16"/>
    </row>
    <row r="7090" spans="22:22">
      <c r="V7090" s="16"/>
    </row>
    <row r="7091" spans="22:22">
      <c r="V7091" s="16"/>
    </row>
    <row r="7092" spans="22:22">
      <c r="V7092" s="16"/>
    </row>
    <row r="7093" spans="22:22">
      <c r="V7093" s="16"/>
    </row>
    <row r="7094" spans="22:22">
      <c r="V7094" s="16"/>
    </row>
    <row r="7095" spans="22:22">
      <c r="V7095" s="16"/>
    </row>
    <row r="7096" spans="22:22">
      <c r="V7096" s="16"/>
    </row>
    <row r="7097" spans="22:22">
      <c r="V7097" s="16"/>
    </row>
    <row r="7098" spans="22:22">
      <c r="V7098" s="16"/>
    </row>
    <row r="7099" spans="22:22">
      <c r="V7099" s="16"/>
    </row>
    <row r="7100" spans="22:22">
      <c r="V7100" s="16"/>
    </row>
    <row r="7101" spans="22:22">
      <c r="V7101" s="16"/>
    </row>
    <row r="7102" spans="22:22">
      <c r="V7102" s="16"/>
    </row>
    <row r="7103" spans="22:22">
      <c r="V7103" s="16"/>
    </row>
    <row r="7104" spans="22:22">
      <c r="V7104" s="16"/>
    </row>
    <row r="7105" spans="22:22">
      <c r="V7105" s="16"/>
    </row>
    <row r="7106" spans="22:22">
      <c r="V7106" s="16"/>
    </row>
    <row r="7107" spans="22:22">
      <c r="V7107" s="16"/>
    </row>
    <row r="7108" spans="22:22">
      <c r="V7108" s="16"/>
    </row>
    <row r="7109" spans="22:22">
      <c r="V7109" s="16"/>
    </row>
    <row r="7110" spans="22:22">
      <c r="V7110" s="16"/>
    </row>
    <row r="7111" spans="22:22">
      <c r="V7111" s="16"/>
    </row>
    <row r="7112" spans="22:22">
      <c r="V7112" s="16"/>
    </row>
    <row r="7113" spans="22:22">
      <c r="V7113" s="16"/>
    </row>
    <row r="7114" spans="22:22">
      <c r="V7114" s="16"/>
    </row>
    <row r="7115" spans="22:22">
      <c r="V7115" s="16"/>
    </row>
    <row r="7116" spans="22:22">
      <c r="V7116" s="16"/>
    </row>
    <row r="7117" spans="22:22">
      <c r="V7117" s="16"/>
    </row>
  </sheetData>
  <sheetProtection selectLockedCells="1"/>
  <protectedRanges>
    <protectedRange sqref="S7 I5:K6 J8:K8 AF3 H9 H7:K7 I27:K27 H21:I21 K12 H15:I15 I24:K24 H23 T9:V9 I8:I12 K10 L5:L18 J10:J12" name="Service"/>
    <protectedRange sqref="H5" name="FullName"/>
    <protectedRange sqref="V5" name="Email"/>
    <protectedRange sqref="K25 Y5 K21" name="Status"/>
    <protectedRange sqref="K9 K17 H25 H17 H11" name="Date"/>
    <protectedRange sqref="H27 V7 S9" name="Notes"/>
  </protectedRanges>
  <sortState xmlns:xlrd2="http://schemas.microsoft.com/office/spreadsheetml/2017/richdata2" ref="M3:M34">
    <sortCondition ref="M3:M34"/>
  </sortState>
  <dataConsolidate/>
  <mergeCells count="13">
    <mergeCell ref="K37:K38"/>
    <mergeCell ref="G37:I38"/>
    <mergeCell ref="H15:I15"/>
    <mergeCell ref="H7:K7"/>
    <mergeCell ref="S9:V9"/>
    <mergeCell ref="K33:K34"/>
    <mergeCell ref="K35:K36"/>
    <mergeCell ref="G35:I36"/>
    <mergeCell ref="G33:I34"/>
    <mergeCell ref="F30:L32"/>
    <mergeCell ref="R14:Y14"/>
    <mergeCell ref="H27:K27"/>
    <mergeCell ref="H11:I11"/>
  </mergeCells>
  <dataValidations count="3">
    <dataValidation type="decimal" allowBlank="1" showInputMessage="1" showErrorMessage="1" sqref="V5" xr:uid="{33E4EF68-1E6A-4643-96AF-4D8EC2DE314B}">
      <formula1>-9999999</formula1>
      <formula2>9999999</formula2>
    </dataValidation>
    <dataValidation type="list" allowBlank="1" showInputMessage="1" showErrorMessage="1" sqref="S5" xr:uid="{BEC172E4-2A25-4F22-A801-F90249A75A91}">
      <formula1>"Receipt, Issue, Adjustment"</formula1>
    </dataValidation>
    <dataValidation type="whole" allowBlank="1" showInputMessage="1" showErrorMessage="1" sqref="H11:I11" xr:uid="{7FF74951-3A46-4A93-AFCB-B76770B3C3B4}">
      <formula1>0</formula1>
      <formula2>9999999999999</formula2>
    </dataValidation>
  </dataValidations>
  <pageMargins left="0.23622047244094491" right="0.23622047244094491" top="0.74803149606299213" bottom="0.74803149606299213" header="0.31496062992125984" footer="0.31496062992125984"/>
  <pageSetup paperSize="9" scale="42" fitToHeight="0" orientation="landscape" r:id="rId1"/>
  <headerFooter>
    <oddHeader>&amp;C&amp;"-,Bold"&amp;36&amp;K52796FSimple CRM</oddHeader>
    <oddFooter>&amp;L&amp;"-,Bold"&amp;K52796F Confidential&amp;C&amp;K52796F&amp;D&amp;R&amp;K52796FPage &amp;P of &amp;N</oddFooter>
  </headerFooter>
  <drawing r:id="rId2"/>
  <extLst>
    <ext xmlns:x14="http://schemas.microsoft.com/office/spreadsheetml/2009/9/main" uri="{CCE6A557-97BC-4b89-ADB6-D9C93CAAB3DF}">
      <x14:dataValidations xmlns:xm="http://schemas.microsoft.com/office/excel/2006/main" count="4">
        <x14:dataValidation type="list" allowBlank="1" showInputMessage="1" xr:uid="{C8A857C4-43B5-47FE-98EF-CAE2562E9103}">
          <x14:formula1>
            <xm:f>_xlfn.ANCHORARRAY('Database &amp; Calc'!$X$5)</xm:f>
          </x14:formula1>
          <xm:sqref>H5</xm:sqref>
        </x14:dataValidation>
        <x14:dataValidation type="list" allowBlank="1" showInputMessage="1" showErrorMessage="1" xr:uid="{C7DB52F9-F628-4F17-9F89-E1A6742D2F19}">
          <x14:formula1>
            <xm:f>'Database &amp; Calc'!$AN$5:$AN$22</xm:f>
          </x14:formula1>
          <xm:sqref>H9</xm:sqref>
        </x14:dataValidation>
        <x14:dataValidation type="list" allowBlank="1" showInputMessage="1" showErrorMessage="1" xr:uid="{09C61927-DAAF-4C9E-BF1A-AF10D208F068}">
          <x14:formula1>
            <xm:f>'Database &amp; Calc'!$AQ$5:$AQ$10</xm:f>
          </x14:formula1>
          <xm:sqref>K9</xm:sqref>
        </x14:dataValidation>
        <x14:dataValidation type="list" allowBlank="1" showInputMessage="1" showErrorMessage="1" xr:uid="{6BC82989-AE94-44E3-B31D-D67926CD05BD}">
          <x14:formula1>
            <xm:f>'Database &amp; Calc'!$AK$5:$AK$8</xm:f>
          </x14:formula1>
          <xm:sqref>H15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7E1C-6AFF-4259-A16E-99ED7449D367}">
  <sheetPr>
    <tabColor theme="7"/>
  </sheetPr>
  <dimension ref="E1:AS8394"/>
  <sheetViews>
    <sheetView showGridLines="0" zoomScaleNormal="100" workbookViewId="0">
      <pane xSplit="4" topLeftCell="E1" activePane="topRight" state="frozen"/>
      <selection pane="topRight"/>
    </sheetView>
  </sheetViews>
  <sheetFormatPr defaultRowHeight="16.5"/>
  <cols>
    <col min="1" max="4" width="9.140625" style="1"/>
    <col min="5" max="5" width="8.28515625" style="1" customWidth="1"/>
    <col min="6" max="6" width="3.42578125" style="1" customWidth="1"/>
    <col min="7" max="7" width="14.42578125" style="1" customWidth="1"/>
    <col min="8" max="8" width="9.5703125" style="1" customWidth="1"/>
    <col min="9" max="9" width="37.140625" style="1" customWidth="1"/>
    <col min="10" max="10" width="7.7109375" style="1" bestFit="1" customWidth="1"/>
    <col min="11" max="12" width="16.140625" style="1" customWidth="1"/>
    <col min="13" max="13" width="21.140625" style="1" bestFit="1" customWidth="1"/>
    <col min="14" max="14" width="16.140625" style="1" customWidth="1"/>
    <col min="15" max="15" width="16.140625" style="69" customWidth="1"/>
    <col min="16" max="16" width="14.140625" style="104" bestFit="1" customWidth="1"/>
    <col min="17" max="17" width="14" style="111" customWidth="1"/>
    <col min="18" max="18" width="18.85546875" style="1" customWidth="1"/>
    <col min="19" max="19" width="15.7109375" style="104" bestFit="1" customWidth="1"/>
    <col min="20" max="20" width="14" style="116" bestFit="1" customWidth="1"/>
    <col min="21" max="21" width="14" style="1" customWidth="1"/>
    <col min="22" max="22" width="36.7109375" style="1" bestFit="1" customWidth="1"/>
    <col min="23" max="23" width="9.85546875" style="1" customWidth="1"/>
    <col min="24" max="24" width="14.85546875" style="1" bestFit="1" customWidth="1"/>
    <col min="25" max="25" width="7.140625" style="1" bestFit="1" customWidth="1"/>
    <col min="26" max="26" width="17" style="1" bestFit="1" customWidth="1"/>
    <col min="27" max="27" width="16.28515625" style="1" customWidth="1"/>
    <col min="28" max="28" width="29.7109375" style="1" customWidth="1"/>
    <col min="29" max="29" width="16.5703125" style="3" bestFit="1" customWidth="1"/>
    <col min="30" max="30" width="14" style="69" customWidth="1"/>
    <col min="31" max="31" width="48.5703125" style="1" bestFit="1" customWidth="1"/>
    <col min="32" max="32" width="9.140625" style="1"/>
    <col min="33" max="33" width="14.28515625" style="1" customWidth="1"/>
    <col min="34" max="34" width="16.28515625" style="1" customWidth="1"/>
    <col min="35" max="35" width="10.5703125" style="1" customWidth="1"/>
    <col min="36" max="36" width="3.7109375" style="1" customWidth="1"/>
    <col min="37" max="37" width="25.42578125" style="1" customWidth="1"/>
    <col min="38" max="38" width="38" style="1" bestFit="1" customWidth="1"/>
    <col min="39" max="40" width="9.140625" style="1"/>
    <col min="41" max="41" width="24" style="1" bestFit="1" customWidth="1"/>
    <col min="42" max="42" width="9.140625" style="1"/>
    <col min="43" max="43" width="11" style="1" customWidth="1"/>
    <col min="44" max="44" width="19.42578125" style="1" customWidth="1"/>
    <col min="45" max="45" width="3.7109375" style="1" customWidth="1"/>
    <col min="46" max="46" width="23.7109375" style="1" customWidth="1"/>
    <col min="47" max="47" width="21.28515625" style="1" customWidth="1"/>
    <col min="48" max="16384" width="9.140625" style="1"/>
  </cols>
  <sheetData>
    <row r="1" spans="5:45" s="6" customFormat="1" ht="48.75" customHeight="1">
      <c r="E1" s="4" t="s">
        <v>32</v>
      </c>
      <c r="F1" s="5"/>
      <c r="G1" s="5"/>
      <c r="H1" s="5"/>
      <c r="I1" s="5"/>
      <c r="J1" s="5"/>
      <c r="K1" s="5"/>
      <c r="L1" s="5"/>
      <c r="M1" s="5"/>
      <c r="N1" s="5"/>
      <c r="O1" s="93"/>
      <c r="P1" s="103"/>
      <c r="Q1" s="110"/>
      <c r="R1" s="5"/>
      <c r="S1" s="108"/>
      <c r="T1" s="115"/>
      <c r="V1" s="5"/>
      <c r="W1" s="5"/>
      <c r="X1" s="5"/>
      <c r="Y1" s="5"/>
      <c r="Z1" s="5"/>
      <c r="AA1" s="5"/>
      <c r="AD1" s="66"/>
    </row>
    <row r="2" spans="5:45" ht="17.25" thickBot="1"/>
    <row r="3" spans="5:45" ht="23.25">
      <c r="F3"/>
      <c r="G3" s="144" t="s">
        <v>33</v>
      </c>
      <c r="H3" s="144"/>
      <c r="I3" s="144"/>
      <c r="J3" s="144"/>
      <c r="K3" s="144"/>
      <c r="L3" s="144"/>
      <c r="M3" s="144"/>
      <c r="N3" s="144"/>
      <c r="O3" s="144"/>
      <c r="P3" s="144"/>
      <c r="Q3" s="144"/>
      <c r="R3" s="144"/>
      <c r="S3" s="144"/>
      <c r="T3" s="144"/>
      <c r="U3" s="47"/>
      <c r="V3"/>
      <c r="W3"/>
      <c r="X3" s="8" t="s">
        <v>34</v>
      </c>
      <c r="Y3"/>
      <c r="Z3" s="144" t="s">
        <v>35</v>
      </c>
      <c r="AA3" s="144"/>
      <c r="AB3" s="144"/>
      <c r="AC3" s="144"/>
      <c r="AD3" s="144"/>
      <c r="AE3" s="144"/>
      <c r="AJ3" s="86"/>
      <c r="AK3" s="145" t="s">
        <v>36</v>
      </c>
      <c r="AL3" s="145"/>
      <c r="AM3" s="145"/>
      <c r="AN3" s="145"/>
      <c r="AO3" s="145"/>
      <c r="AP3" s="145"/>
      <c r="AQ3" s="145"/>
      <c r="AR3" s="145"/>
      <c r="AS3" s="87"/>
    </row>
    <row r="4" spans="5:45">
      <c r="F4"/>
      <c r="G4" s="15" t="s">
        <v>4</v>
      </c>
      <c r="H4" s="15" t="s">
        <v>37</v>
      </c>
      <c r="I4" s="15" t="s">
        <v>8</v>
      </c>
      <c r="J4" s="15" t="s">
        <v>10</v>
      </c>
      <c r="K4" s="15" t="s">
        <v>11</v>
      </c>
      <c r="L4" s="15" t="s">
        <v>13</v>
      </c>
      <c r="M4" s="15" t="s">
        <v>15</v>
      </c>
      <c r="N4" s="15" t="s">
        <v>16</v>
      </c>
      <c r="O4" s="67" t="s">
        <v>17</v>
      </c>
      <c r="P4" s="105" t="s">
        <v>20</v>
      </c>
      <c r="Q4" s="112" t="s">
        <v>21</v>
      </c>
      <c r="R4" s="15" t="s">
        <v>22</v>
      </c>
      <c r="S4" s="105" t="s">
        <v>23</v>
      </c>
      <c r="T4" s="117" t="s">
        <v>38</v>
      </c>
      <c r="U4" s="15" t="s">
        <v>39</v>
      </c>
      <c r="V4" s="15" t="s">
        <v>12</v>
      </c>
      <c r="Y4"/>
      <c r="Z4" s="15" t="s">
        <v>4</v>
      </c>
      <c r="AA4" s="15" t="s">
        <v>5</v>
      </c>
      <c r="AB4" s="15" t="s">
        <v>19</v>
      </c>
      <c r="AC4" s="15" t="s">
        <v>6</v>
      </c>
      <c r="AD4" s="67" t="s">
        <v>7</v>
      </c>
      <c r="AE4" s="15" t="s">
        <v>12</v>
      </c>
      <c r="AG4" s="36" t="s">
        <v>40</v>
      </c>
      <c r="AH4" s="35">
        <f>MAX(movementData[Type])+1</f>
        <v>1</v>
      </c>
      <c r="AI4" s="14"/>
      <c r="AJ4" s="88"/>
      <c r="AK4" s="57" t="s">
        <v>15</v>
      </c>
      <c r="AL4" s="58" t="s">
        <v>8</v>
      </c>
      <c r="AN4" s="57" t="s">
        <v>10</v>
      </c>
      <c r="AO4" s="61" t="s">
        <v>8</v>
      </c>
      <c r="AQ4" s="57" t="s">
        <v>11</v>
      </c>
      <c r="AR4" s="58" t="s">
        <v>8</v>
      </c>
      <c r="AS4" s="89"/>
    </row>
    <row r="5" spans="5:45" ht="15.75" customHeight="1">
      <c r="F5"/>
      <c r="G5" s="14" t="s">
        <v>41</v>
      </c>
      <c r="H5" s="14"/>
      <c r="I5" s="14" t="s">
        <v>42</v>
      </c>
      <c r="J5" s="14" t="s">
        <v>43</v>
      </c>
      <c r="K5" s="14" t="s">
        <v>44</v>
      </c>
      <c r="L5" s="79"/>
      <c r="M5" s="14" t="s">
        <v>45</v>
      </c>
      <c r="N5" s="14">
        <v>0.28999999999999998</v>
      </c>
      <c r="O5" s="80"/>
      <c r="P5" s="106">
        <f>SUMIF(movementData[Product '#],ProductData[[#This Row],[Product '#]],movementData[Qty])</f>
        <v>18</v>
      </c>
      <c r="Q5" s="113">
        <f>+ProductData[[#This Row],[Unit Price]]*ProductData[[#This Row],[Qty on Hand]]</f>
        <v>5.22</v>
      </c>
      <c r="R5" s="14" t="s">
        <v>46</v>
      </c>
      <c r="S5" s="109">
        <v>25</v>
      </c>
      <c r="T5" s="118">
        <f>IF(ProductData[[#This Row],[Qty on Hand]]&lt;ProductData[[#This Row],[Reorder Point]],+ProductData[[#This Row],[Reorder Point]]-ProductData[[#This Row],[Qty on Hand]],0)</f>
        <v>7</v>
      </c>
      <c r="U5" s="44">
        <f>+ProductData[[#This Row],[Reorder Qty]]*ProductData[[#This Row],[Unit Price]]</f>
        <v>2.0299999999999998</v>
      </c>
      <c r="V5" s="14"/>
      <c r="W5"/>
      <c r="X5" t="str" cm="1">
        <f t="array" ref="X5:X21">_xlfn._xlws.SORT(_xlfn._xlws.FILTER(ProductData[Product '#],(ProductData[Deleted]&lt;&gt;"Yes")*(ISNUMBER(SEARCH('Product Form'!H5,ProductData[Product '#]))),"No Match"))</f>
        <v>AB179524</v>
      </c>
      <c r="Y5"/>
      <c r="Z5" s="25" t="s">
        <v>47</v>
      </c>
      <c r="AA5" s="25" t="s">
        <v>25</v>
      </c>
      <c r="AB5" s="25"/>
      <c r="AC5" s="25">
        <v>-18</v>
      </c>
      <c r="AD5" s="68">
        <v>45827</v>
      </c>
      <c r="AE5" s="25" t="s">
        <v>48</v>
      </c>
      <c r="AJ5" s="81"/>
      <c r="AK5" s="53" t="s">
        <v>49</v>
      </c>
      <c r="AL5" s="55" t="s">
        <v>50</v>
      </c>
      <c r="AN5" s="53" t="s">
        <v>51</v>
      </c>
      <c r="AO5" s="55" t="s">
        <v>52</v>
      </c>
      <c r="AQ5" s="53" t="s">
        <v>44</v>
      </c>
      <c r="AR5" s="55"/>
      <c r="AS5" s="82"/>
    </row>
    <row r="6" spans="5:45" ht="42.75" customHeight="1">
      <c r="F6"/>
      <c r="G6" s="14" t="s">
        <v>53</v>
      </c>
      <c r="H6" s="14"/>
      <c r="I6" s="14" t="s">
        <v>54</v>
      </c>
      <c r="J6" s="14" t="s">
        <v>55</v>
      </c>
      <c r="K6" s="14" t="s">
        <v>56</v>
      </c>
      <c r="L6" s="79">
        <v>3045684512859</v>
      </c>
      <c r="M6" s="14" t="s">
        <v>45</v>
      </c>
      <c r="N6" s="14">
        <v>3.25</v>
      </c>
      <c r="O6" s="80"/>
      <c r="P6" s="106">
        <f>SUMIF(movementData[Product '#],ProductData[[#This Row],[Product '#]],movementData[Qty])</f>
        <v>19</v>
      </c>
      <c r="Q6" s="113">
        <f>+ProductData[[#This Row],[Unit Price]]*ProductData[[#This Row],[Qty on Hand]]</f>
        <v>61.75</v>
      </c>
      <c r="R6" s="14" t="s">
        <v>57</v>
      </c>
      <c r="S6" s="109">
        <v>25</v>
      </c>
      <c r="T6" s="118">
        <f>IF(ProductData[[#This Row],[Qty on Hand]]&lt;ProductData[[#This Row],[Reorder Point]],+ProductData[[#This Row],[Reorder Point]]-ProductData[[#This Row],[Qty on Hand]],0)</f>
        <v>6</v>
      </c>
      <c r="U6" s="44">
        <f>+ProductData[[#This Row],[Reorder Qty]]*ProductData[[#This Row],[Unit Price]]</f>
        <v>19.5</v>
      </c>
      <c r="V6" s="14" t="s">
        <v>58</v>
      </c>
      <c r="W6"/>
      <c r="X6" t="str">
        <v>AB194875</v>
      </c>
      <c r="Y6"/>
      <c r="Z6" s="25" t="s">
        <v>59</v>
      </c>
      <c r="AA6" s="25" t="s">
        <v>25</v>
      </c>
      <c r="AB6" s="25"/>
      <c r="AC6" s="25">
        <v>-9</v>
      </c>
      <c r="AD6" s="68">
        <v>45935</v>
      </c>
      <c r="AE6" s="25" t="s">
        <v>60</v>
      </c>
      <c r="AG6" s="36" t="s">
        <v>61</v>
      </c>
      <c r="AH6" s="35">
        <f>COUNTA(ProductData[Product '#])</f>
        <v>17</v>
      </c>
      <c r="AI6" s="14"/>
      <c r="AJ6" s="88"/>
      <c r="AK6" s="54" t="s">
        <v>62</v>
      </c>
      <c r="AL6" s="56" t="s">
        <v>63</v>
      </c>
      <c r="AN6" s="54" t="s">
        <v>64</v>
      </c>
      <c r="AO6" s="56" t="s">
        <v>65</v>
      </c>
      <c r="AQ6" s="54" t="s">
        <v>66</v>
      </c>
      <c r="AR6" s="56"/>
      <c r="AS6" s="89"/>
    </row>
    <row r="7" spans="5:45">
      <c r="F7"/>
      <c r="G7" s="14" t="s">
        <v>67</v>
      </c>
      <c r="H7" s="14"/>
      <c r="I7" s="14" t="s">
        <v>68</v>
      </c>
      <c r="J7" s="14" t="s">
        <v>43</v>
      </c>
      <c r="K7" s="14" t="s">
        <v>56</v>
      </c>
      <c r="L7" s="79">
        <v>8045632841586</v>
      </c>
      <c r="M7" s="14" t="s">
        <v>45</v>
      </c>
      <c r="N7" s="14">
        <v>1.03</v>
      </c>
      <c r="O7" s="80"/>
      <c r="P7" s="106">
        <f>SUMIF(movementData[Product '#],ProductData[[#This Row],[Product '#]],movementData[Qty])</f>
        <v>20</v>
      </c>
      <c r="Q7" s="113">
        <f>+ProductData[[#This Row],[Unit Price]]*ProductData[[#This Row],[Qty on Hand]]</f>
        <v>20.6</v>
      </c>
      <c r="R7" s="14" t="s">
        <v>69</v>
      </c>
      <c r="S7" s="109">
        <v>25</v>
      </c>
      <c r="T7" s="118">
        <f>IF(ProductData[[#This Row],[Qty on Hand]]&lt;ProductData[[#This Row],[Reorder Point]],+ProductData[[#This Row],[Reorder Point]]-ProductData[[#This Row],[Qty on Hand]],0)</f>
        <v>5</v>
      </c>
      <c r="U7" s="45">
        <f>+ProductData[[#This Row],[Reorder Qty]]*ProductData[[#This Row],[Unit Price]]</f>
        <v>5.15</v>
      </c>
      <c r="V7" s="14"/>
      <c r="W7"/>
      <c r="X7" t="str">
        <v>AB472915</v>
      </c>
      <c r="Y7"/>
      <c r="Z7" s="25" t="s">
        <v>70</v>
      </c>
      <c r="AA7" s="25" t="s">
        <v>26</v>
      </c>
      <c r="AB7" s="25" t="s">
        <v>71</v>
      </c>
      <c r="AC7" s="25">
        <v>190</v>
      </c>
      <c r="AD7" s="68">
        <v>45885</v>
      </c>
      <c r="AE7" s="25" t="s">
        <v>72</v>
      </c>
      <c r="AG7" s="36" t="s">
        <v>73</v>
      </c>
      <c r="AH7" s="35">
        <f>SUM(movementData[Qty])</f>
        <v>820.5</v>
      </c>
      <c r="AI7" s="14"/>
      <c r="AJ7" s="88"/>
      <c r="AK7" s="53" t="s">
        <v>74</v>
      </c>
      <c r="AL7" s="55" t="s">
        <v>75</v>
      </c>
      <c r="AN7" s="53" t="s">
        <v>76</v>
      </c>
      <c r="AO7" s="55" t="s">
        <v>77</v>
      </c>
      <c r="AQ7" s="53" t="s">
        <v>78</v>
      </c>
      <c r="AR7" s="55"/>
      <c r="AS7" s="89"/>
    </row>
    <row r="8" spans="5:45">
      <c r="F8"/>
      <c r="G8" s="14" t="s">
        <v>79</v>
      </c>
      <c r="H8" s="14"/>
      <c r="I8" s="14" t="s">
        <v>80</v>
      </c>
      <c r="J8" s="14" t="s">
        <v>43</v>
      </c>
      <c r="K8" s="14" t="s">
        <v>44</v>
      </c>
      <c r="L8" s="79">
        <v>5012345678900</v>
      </c>
      <c r="M8" s="14" t="s">
        <v>62</v>
      </c>
      <c r="N8" s="14">
        <v>0.57999999999999996</v>
      </c>
      <c r="O8" s="80"/>
      <c r="P8" s="106">
        <f>SUMIF(movementData[Product '#],ProductData[[#This Row],[Product '#]],movementData[Qty])</f>
        <v>218</v>
      </c>
      <c r="Q8" s="113">
        <f>+ProductData[[#This Row],[Unit Price]]*ProductData[[#This Row],[Qty on Hand]]</f>
        <v>126.44</v>
      </c>
      <c r="R8" s="14" t="s">
        <v>81</v>
      </c>
      <c r="S8" s="109">
        <v>80</v>
      </c>
      <c r="T8" s="118">
        <f>IF(ProductData[[#This Row],[Qty on Hand]]&lt;ProductData[[#This Row],[Reorder Point]],+ProductData[[#This Row],[Reorder Point]]-ProductData[[#This Row],[Qty on Hand]],0)</f>
        <v>0</v>
      </c>
      <c r="U8" s="44">
        <f>+ProductData[[#This Row],[Reorder Qty]]*ProductData[[#This Row],[Unit Price]]</f>
        <v>0</v>
      </c>
      <c r="V8" s="14"/>
      <c r="W8"/>
      <c r="X8" t="str">
        <v>BA806491</v>
      </c>
      <c r="Y8"/>
      <c r="Z8" s="25" t="s">
        <v>82</v>
      </c>
      <c r="AA8" s="25" t="s">
        <v>25</v>
      </c>
      <c r="AB8" s="25"/>
      <c r="AC8" s="25">
        <v>-13</v>
      </c>
      <c r="AD8" s="68">
        <v>45938</v>
      </c>
      <c r="AE8" s="25" t="s">
        <v>60</v>
      </c>
      <c r="AG8" s="36" t="s">
        <v>83</v>
      </c>
      <c r="AH8" s="52">
        <f>SUM(ProductData[Stock Value])</f>
        <v>2893.9750000000004</v>
      </c>
      <c r="AI8" s="44"/>
      <c r="AJ8" s="90"/>
      <c r="AK8" s="59" t="s">
        <v>45</v>
      </c>
      <c r="AL8" s="60" t="s">
        <v>84</v>
      </c>
      <c r="AN8" s="54" t="s">
        <v>85</v>
      </c>
      <c r="AO8" s="56" t="s">
        <v>86</v>
      </c>
      <c r="AQ8" s="54" t="s">
        <v>56</v>
      </c>
      <c r="AR8" s="56"/>
      <c r="AS8" s="91"/>
    </row>
    <row r="9" spans="5:45" ht="16.5" customHeight="1">
      <c r="F9"/>
      <c r="G9" s="14" t="s">
        <v>70</v>
      </c>
      <c r="H9" s="14"/>
      <c r="I9" s="14" t="s">
        <v>87</v>
      </c>
      <c r="J9" s="14" t="s">
        <v>43</v>
      </c>
      <c r="K9" s="14" t="s">
        <v>88</v>
      </c>
      <c r="L9" s="79">
        <v>8901234567890</v>
      </c>
      <c r="M9" s="14" t="s">
        <v>45</v>
      </c>
      <c r="N9" s="14">
        <v>0.33</v>
      </c>
      <c r="O9" s="80"/>
      <c r="P9" s="106">
        <f>SUMIF(movementData[Product '#],ProductData[[#This Row],[Product '#]],movementData[Qty])</f>
        <v>167</v>
      </c>
      <c r="Q9" s="113">
        <f>+ProductData[[#This Row],[Unit Price]]*ProductData[[#This Row],[Qty on Hand]]</f>
        <v>55.11</v>
      </c>
      <c r="R9" s="14" t="s">
        <v>89</v>
      </c>
      <c r="S9" s="109">
        <v>40</v>
      </c>
      <c r="T9" s="118">
        <f>IF(ProductData[[#This Row],[Qty on Hand]]&lt;ProductData[[#This Row],[Reorder Point]],+ProductData[[#This Row],[Reorder Point]]-ProductData[[#This Row],[Qty on Hand]],0)</f>
        <v>0</v>
      </c>
      <c r="U9" s="44">
        <f>+ProductData[[#This Row],[Reorder Qty]]*ProductData[[#This Row],[Unit Price]]</f>
        <v>0</v>
      </c>
      <c r="V9" s="14"/>
      <c r="W9"/>
      <c r="X9" t="str">
        <v>CT920541</v>
      </c>
      <c r="Y9"/>
      <c r="Z9" s="25" t="s">
        <v>90</v>
      </c>
      <c r="AA9" s="25" t="s">
        <v>25</v>
      </c>
      <c r="AB9" s="25"/>
      <c r="AC9" s="25">
        <v>-11</v>
      </c>
      <c r="AD9" s="68">
        <v>45941</v>
      </c>
      <c r="AE9" s="25" t="s">
        <v>91</v>
      </c>
      <c r="AJ9" s="81"/>
      <c r="AN9" s="53" t="s">
        <v>43</v>
      </c>
      <c r="AO9" s="55" t="s">
        <v>92</v>
      </c>
      <c r="AQ9" s="53" t="s">
        <v>88</v>
      </c>
      <c r="AR9" s="55"/>
      <c r="AS9" s="82"/>
    </row>
    <row r="10" spans="5:45" ht="24.75" customHeight="1">
      <c r="E10"/>
      <c r="F10"/>
      <c r="G10" s="14" t="s">
        <v>47</v>
      </c>
      <c r="H10" s="14"/>
      <c r="I10" s="14" t="s">
        <v>93</v>
      </c>
      <c r="J10" s="14" t="s">
        <v>51</v>
      </c>
      <c r="K10" s="14" t="s">
        <v>44</v>
      </c>
      <c r="L10" s="79">
        <v>1234567890128</v>
      </c>
      <c r="M10" s="14" t="s">
        <v>45</v>
      </c>
      <c r="N10" s="14">
        <v>6.75</v>
      </c>
      <c r="O10" s="80"/>
      <c r="P10" s="106">
        <f>SUMIF(movementData[Product '#],ProductData[[#This Row],[Product '#]],movementData[Qty])</f>
        <v>-32</v>
      </c>
      <c r="Q10" s="113">
        <f>+ProductData[[#This Row],[Unit Price]]*ProductData[[#This Row],[Qty on Hand]]</f>
        <v>-216</v>
      </c>
      <c r="R10" s="14" t="s">
        <v>94</v>
      </c>
      <c r="S10" s="109">
        <v>5</v>
      </c>
      <c r="T10" s="118">
        <f>IF(ProductData[[#This Row],[Qty on Hand]]&lt;ProductData[[#This Row],[Reorder Point]],+ProductData[[#This Row],[Reorder Point]]-ProductData[[#This Row],[Qty on Hand]],0)</f>
        <v>37</v>
      </c>
      <c r="U10" s="45">
        <f>+ProductData[[#This Row],[Reorder Qty]]*ProductData[[#This Row],[Unit Price]]</f>
        <v>249.75</v>
      </c>
      <c r="V10" s="14"/>
      <c r="W10"/>
      <c r="X10" t="str">
        <v>DX183724</v>
      </c>
      <c r="Y10"/>
      <c r="Z10" s="25" t="s">
        <v>95</v>
      </c>
      <c r="AA10" s="25" t="s">
        <v>25</v>
      </c>
      <c r="AB10" s="25"/>
      <c r="AC10" s="25">
        <v>-8</v>
      </c>
      <c r="AD10" s="68">
        <v>45935</v>
      </c>
      <c r="AE10" s="25" t="s">
        <v>91</v>
      </c>
      <c r="AJ10" s="81"/>
      <c r="AN10" s="54" t="s">
        <v>96</v>
      </c>
      <c r="AO10" s="56" t="s">
        <v>97</v>
      </c>
      <c r="AQ10" s="59" t="s">
        <v>98</v>
      </c>
      <c r="AR10" s="60"/>
      <c r="AS10" s="82"/>
    </row>
    <row r="11" spans="5:45" ht="16.5" customHeight="1">
      <c r="E11"/>
      <c r="F11"/>
      <c r="G11" s="14" t="s">
        <v>59</v>
      </c>
      <c r="H11" s="14"/>
      <c r="I11" s="14" t="s">
        <v>99</v>
      </c>
      <c r="J11" s="14" t="s">
        <v>43</v>
      </c>
      <c r="K11" s="14" t="s">
        <v>66</v>
      </c>
      <c r="L11" s="79"/>
      <c r="M11" s="14" t="s">
        <v>49</v>
      </c>
      <c r="N11" s="14">
        <v>5.79</v>
      </c>
      <c r="O11" s="80"/>
      <c r="P11" s="106">
        <f>SUMIF(movementData[Product '#],ProductData[[#This Row],[Product '#]],movementData[Qty])</f>
        <v>-17</v>
      </c>
      <c r="Q11" s="113">
        <f>+ProductData[[#This Row],[Unit Price]]*ProductData[[#This Row],[Qty on Hand]]</f>
        <v>-98.43</v>
      </c>
      <c r="R11" s="14" t="s">
        <v>81</v>
      </c>
      <c r="S11" s="109">
        <v>10</v>
      </c>
      <c r="T11" s="118">
        <f>IF(ProductData[[#This Row],[Qty on Hand]]&lt;ProductData[[#This Row],[Reorder Point]],+ProductData[[#This Row],[Reorder Point]]-ProductData[[#This Row],[Qty on Hand]],0)</f>
        <v>27</v>
      </c>
      <c r="U11" s="44">
        <f>+ProductData[[#This Row],[Reorder Qty]]*ProductData[[#This Row],[Unit Price]]</f>
        <v>156.33000000000001</v>
      </c>
      <c r="V11" s="14"/>
      <c r="W11"/>
      <c r="X11" t="str">
        <v>FR508639</v>
      </c>
      <c r="Y11"/>
      <c r="Z11" s="25" t="s">
        <v>47</v>
      </c>
      <c r="AA11" s="25" t="s">
        <v>25</v>
      </c>
      <c r="AB11" s="25"/>
      <c r="AC11" s="25">
        <v>-17</v>
      </c>
      <c r="AD11" s="68">
        <v>45782</v>
      </c>
      <c r="AE11" s="25" t="s">
        <v>48</v>
      </c>
      <c r="AJ11" s="81"/>
      <c r="AN11" s="53" t="s">
        <v>100</v>
      </c>
      <c r="AO11" s="55" t="s">
        <v>101</v>
      </c>
      <c r="AS11" s="82"/>
    </row>
    <row r="12" spans="5:45" ht="24.75" customHeight="1">
      <c r="E12"/>
      <c r="F12"/>
      <c r="G12" s="14" t="s">
        <v>95</v>
      </c>
      <c r="H12" s="14"/>
      <c r="I12" s="14" t="s">
        <v>102</v>
      </c>
      <c r="J12" s="14" t="s">
        <v>51</v>
      </c>
      <c r="K12" s="14" t="s">
        <v>44</v>
      </c>
      <c r="L12" s="79"/>
      <c r="M12" s="14" t="s">
        <v>62</v>
      </c>
      <c r="N12" s="14">
        <v>4.25</v>
      </c>
      <c r="O12" s="80" t="s">
        <v>103</v>
      </c>
      <c r="P12" s="106">
        <f>SUMIF(movementData[Product '#],ProductData[[#This Row],[Product '#]],movementData[Qty])</f>
        <v>21.5</v>
      </c>
      <c r="Q12" s="113">
        <f>+ProductData[[#This Row],[Unit Price]]*ProductData[[#This Row],[Qty on Hand]]</f>
        <v>91.375</v>
      </c>
      <c r="R12" s="14" t="s">
        <v>89</v>
      </c>
      <c r="S12" s="109">
        <v>4</v>
      </c>
      <c r="T12" s="118">
        <f>IF(ProductData[[#This Row],[Qty on Hand]]&lt;ProductData[[#This Row],[Reorder Point]],+ProductData[[#This Row],[Reorder Point]]-ProductData[[#This Row],[Qty on Hand]],0)</f>
        <v>0</v>
      </c>
      <c r="U12" s="44">
        <f>+ProductData[[#This Row],[Reorder Qty]]*ProductData[[#This Row],[Unit Price]]</f>
        <v>0</v>
      </c>
      <c r="V12" s="14"/>
      <c r="W12"/>
      <c r="X12" t="str">
        <v>GH725940</v>
      </c>
      <c r="Y12"/>
      <c r="Z12" s="25" t="s">
        <v>59</v>
      </c>
      <c r="AA12" s="25" t="s">
        <v>25</v>
      </c>
      <c r="AB12" s="25"/>
      <c r="AC12" s="25">
        <v>-12</v>
      </c>
      <c r="AD12" s="68">
        <v>45892</v>
      </c>
      <c r="AE12" s="25" t="s">
        <v>60</v>
      </c>
      <c r="AJ12" s="81"/>
      <c r="AN12" s="54" t="s">
        <v>104</v>
      </c>
      <c r="AO12" s="56" t="s">
        <v>105</v>
      </c>
      <c r="AS12" s="82"/>
    </row>
    <row r="13" spans="5:45" ht="16.5" customHeight="1">
      <c r="E13"/>
      <c r="F13"/>
      <c r="G13" s="14" t="s">
        <v>106</v>
      </c>
      <c r="H13" s="14"/>
      <c r="I13" s="14" t="s">
        <v>107</v>
      </c>
      <c r="J13" s="14" t="s">
        <v>55</v>
      </c>
      <c r="K13" s="14" t="s">
        <v>66</v>
      </c>
      <c r="L13" s="79"/>
      <c r="M13" s="14" t="s">
        <v>49</v>
      </c>
      <c r="N13" s="14">
        <v>9.8800000000000008</v>
      </c>
      <c r="O13" s="80"/>
      <c r="P13" s="106">
        <f>SUMIF(movementData[Product '#],ProductData[[#This Row],[Product '#]],movementData[Qty])</f>
        <v>90</v>
      </c>
      <c r="Q13" s="113">
        <f>+ProductData[[#This Row],[Unit Price]]*ProductData[[#This Row],[Qty on Hand]]</f>
        <v>889.2</v>
      </c>
      <c r="R13" s="14" t="s">
        <v>108</v>
      </c>
      <c r="S13" s="109">
        <v>10</v>
      </c>
      <c r="T13" s="118">
        <f>IF(ProductData[[#This Row],[Qty on Hand]]&lt;ProductData[[#This Row],[Reorder Point]],+ProductData[[#This Row],[Reorder Point]]-ProductData[[#This Row],[Qty on Hand]],0)</f>
        <v>0</v>
      </c>
      <c r="U13" s="45">
        <f>+ProductData[[#This Row],[Reorder Qty]]*ProductData[[#This Row],[Unit Price]]</f>
        <v>0</v>
      </c>
      <c r="V13" s="14"/>
      <c r="W13"/>
      <c r="X13" t="str">
        <v>LM307618</v>
      </c>
      <c r="Y13"/>
      <c r="Z13" s="25" t="s">
        <v>70</v>
      </c>
      <c r="AA13" s="25" t="s">
        <v>27</v>
      </c>
      <c r="AB13" s="25"/>
      <c r="AC13" s="25">
        <v>5</v>
      </c>
      <c r="AD13" s="68">
        <v>45823</v>
      </c>
      <c r="AE13" s="25" t="s">
        <v>109</v>
      </c>
      <c r="AJ13" s="81"/>
      <c r="AN13" s="53" t="s">
        <v>55</v>
      </c>
      <c r="AO13" s="55" t="s">
        <v>110</v>
      </c>
      <c r="AS13" s="82"/>
    </row>
    <row r="14" spans="5:45" ht="24.75" customHeight="1">
      <c r="E14"/>
      <c r="F14"/>
      <c r="G14" s="14" t="s">
        <v>111</v>
      </c>
      <c r="H14" s="14"/>
      <c r="I14" s="14" t="s">
        <v>112</v>
      </c>
      <c r="J14" s="14" t="s">
        <v>43</v>
      </c>
      <c r="K14" s="14" t="s">
        <v>98</v>
      </c>
      <c r="L14" s="79"/>
      <c r="M14" s="14" t="s">
        <v>45</v>
      </c>
      <c r="N14" s="14">
        <v>0.38</v>
      </c>
      <c r="O14" s="80"/>
      <c r="P14" s="106">
        <f>SUMIF(movementData[Product '#],ProductData[[#This Row],[Product '#]],movementData[Qty])</f>
        <v>38</v>
      </c>
      <c r="Q14" s="113">
        <f>+ProductData[[#This Row],[Unit Price]]*ProductData[[#This Row],[Qty on Hand]]</f>
        <v>14.44</v>
      </c>
      <c r="R14" s="14" t="s">
        <v>94</v>
      </c>
      <c r="S14" s="109">
        <v>5</v>
      </c>
      <c r="T14" s="118">
        <f>IF(ProductData[[#This Row],[Qty on Hand]]&lt;ProductData[[#This Row],[Reorder Point]],+ProductData[[#This Row],[Reorder Point]]-ProductData[[#This Row],[Qty on Hand]],0)</f>
        <v>0</v>
      </c>
      <c r="U14" s="44">
        <f>+ProductData[[#This Row],[Reorder Qty]]*ProductData[[#This Row],[Unit Price]]</f>
        <v>0</v>
      </c>
      <c r="V14" s="14"/>
      <c r="W14"/>
      <c r="X14" t="str">
        <v>NP864230</v>
      </c>
      <c r="Y14"/>
      <c r="Z14" s="25" t="s">
        <v>47</v>
      </c>
      <c r="AA14" s="25" t="s">
        <v>26</v>
      </c>
      <c r="AB14" s="25" t="s">
        <v>113</v>
      </c>
      <c r="AC14" s="25">
        <v>20</v>
      </c>
      <c r="AD14" s="68">
        <v>45932</v>
      </c>
      <c r="AE14" s="25" t="s">
        <v>91</v>
      </c>
      <c r="AJ14" s="81"/>
      <c r="AN14" s="54" t="s">
        <v>114</v>
      </c>
      <c r="AO14" s="56" t="s">
        <v>115</v>
      </c>
      <c r="AS14" s="82"/>
    </row>
    <row r="15" spans="5:45" ht="16.5" customHeight="1">
      <c r="E15"/>
      <c r="F15"/>
      <c r="G15" s="14" t="s">
        <v>116</v>
      </c>
      <c r="H15" s="14"/>
      <c r="I15" s="14" t="s">
        <v>117</v>
      </c>
      <c r="J15" s="14" t="s">
        <v>43</v>
      </c>
      <c r="K15" s="14" t="s">
        <v>44</v>
      </c>
      <c r="L15" s="79"/>
      <c r="M15" s="14" t="s">
        <v>74</v>
      </c>
      <c r="N15" s="14">
        <v>7.46</v>
      </c>
      <c r="O15" s="80"/>
      <c r="P15" s="106">
        <f>SUMIF(movementData[Product '#],ProductData[[#This Row],[Product '#]],movementData[Qty])</f>
        <v>260</v>
      </c>
      <c r="Q15" s="113">
        <f>+ProductData[[#This Row],[Unit Price]]*ProductData[[#This Row],[Qty on Hand]]</f>
        <v>1939.6</v>
      </c>
      <c r="R15" s="14" t="s">
        <v>57</v>
      </c>
      <c r="S15" s="109">
        <v>20</v>
      </c>
      <c r="T15" s="118">
        <f>IF(ProductData[[#This Row],[Qty on Hand]]&lt;ProductData[[#This Row],[Reorder Point]],+ProductData[[#This Row],[Reorder Point]]-ProductData[[#This Row],[Qty on Hand]],0)</f>
        <v>0</v>
      </c>
      <c r="U15" s="44">
        <f>+ProductData[[#This Row],[Reorder Qty]]*ProductData[[#This Row],[Unit Price]]</f>
        <v>0</v>
      </c>
      <c r="V15" s="14"/>
      <c r="W15"/>
      <c r="X15" t="str">
        <v>QR582407</v>
      </c>
      <c r="Y15"/>
      <c r="Z15" s="25" t="s">
        <v>116</v>
      </c>
      <c r="AA15" s="25" t="s">
        <v>26</v>
      </c>
      <c r="AB15" s="25" t="s">
        <v>118</v>
      </c>
      <c r="AC15" s="25">
        <v>250</v>
      </c>
      <c r="AD15" s="68">
        <v>45911</v>
      </c>
      <c r="AE15" s="25" t="s">
        <v>72</v>
      </c>
      <c r="AJ15" s="81"/>
      <c r="AN15" s="53" t="s">
        <v>119</v>
      </c>
      <c r="AO15" s="55" t="s">
        <v>120</v>
      </c>
      <c r="AS15" s="82"/>
    </row>
    <row r="16" spans="5:45" ht="24.75" customHeight="1">
      <c r="E16"/>
      <c r="F16"/>
      <c r="G16" s="14" t="s">
        <v>82</v>
      </c>
      <c r="H16" s="14"/>
      <c r="I16" s="14" t="s">
        <v>121</v>
      </c>
      <c r="J16" s="14" t="s">
        <v>43</v>
      </c>
      <c r="K16" s="14" t="s">
        <v>88</v>
      </c>
      <c r="L16" s="79"/>
      <c r="M16" s="14" t="s">
        <v>45</v>
      </c>
      <c r="N16" s="14">
        <v>0.74</v>
      </c>
      <c r="O16" s="80"/>
      <c r="P16" s="106">
        <f>SUMIF(movementData[Product '#],ProductData[[#This Row],[Product '#]],movementData[Qty])</f>
        <v>42</v>
      </c>
      <c r="Q16" s="113">
        <f>+ProductData[[#This Row],[Unit Price]]*ProductData[[#This Row],[Qty on Hand]]</f>
        <v>31.08</v>
      </c>
      <c r="R16" s="14" t="s">
        <v>122</v>
      </c>
      <c r="S16" s="109">
        <v>70</v>
      </c>
      <c r="T16" s="118">
        <f>IF(ProductData[[#This Row],[Qty on Hand]]&lt;ProductData[[#This Row],[Reorder Point]],+ProductData[[#This Row],[Reorder Point]]-ProductData[[#This Row],[Qty on Hand]],0)</f>
        <v>28</v>
      </c>
      <c r="U16" s="44">
        <f>+ProductData[[#This Row],[Reorder Qty]]*ProductData[[#This Row],[Unit Price]]</f>
        <v>20.72</v>
      </c>
      <c r="V16" s="14"/>
      <c r="W16"/>
      <c r="X16" t="str">
        <v>SP634</v>
      </c>
      <c r="Y16"/>
      <c r="Z16" s="25" t="s">
        <v>123</v>
      </c>
      <c r="AA16" s="25" t="s">
        <v>25</v>
      </c>
      <c r="AB16" s="25"/>
      <c r="AC16" s="25">
        <v>-17</v>
      </c>
      <c r="AD16" s="68">
        <v>45922</v>
      </c>
      <c r="AE16" s="25" t="s">
        <v>60</v>
      </c>
      <c r="AJ16" s="81"/>
      <c r="AN16" s="54" t="s">
        <v>124</v>
      </c>
      <c r="AO16" s="56" t="s">
        <v>125</v>
      </c>
      <c r="AS16" s="82"/>
    </row>
    <row r="17" spans="6:45" ht="16.5" customHeight="1">
      <c r="F17"/>
      <c r="G17" s="14" t="s">
        <v>90</v>
      </c>
      <c r="H17" s="14"/>
      <c r="I17" s="14" t="s">
        <v>126</v>
      </c>
      <c r="J17" s="14" t="s">
        <v>43</v>
      </c>
      <c r="K17" s="14" t="s">
        <v>78</v>
      </c>
      <c r="L17" s="79"/>
      <c r="M17" s="14" t="s">
        <v>45</v>
      </c>
      <c r="N17" s="14">
        <v>0.27</v>
      </c>
      <c r="O17" s="80"/>
      <c r="P17" s="106">
        <f>SUMIF(movementData[Product '#],ProductData[[#This Row],[Product '#]],movementData[Qty])</f>
        <v>-51</v>
      </c>
      <c r="Q17" s="113">
        <f>+ProductData[[#This Row],[Unit Price]]*ProductData[[#This Row],[Qty on Hand]]</f>
        <v>-13.770000000000001</v>
      </c>
      <c r="R17" s="14" t="s">
        <v>127</v>
      </c>
      <c r="S17" s="109">
        <v>20</v>
      </c>
      <c r="T17" s="118">
        <f>IF(ProductData[[#This Row],[Qty on Hand]]&lt;ProductData[[#This Row],[Reorder Point]],+ProductData[[#This Row],[Reorder Point]]-ProductData[[#This Row],[Qty on Hand]],0)</f>
        <v>71</v>
      </c>
      <c r="U17" s="44">
        <f>+ProductData[[#This Row],[Reorder Qty]]*ProductData[[#This Row],[Unit Price]]</f>
        <v>19.170000000000002</v>
      </c>
      <c r="V17" s="14"/>
      <c r="W17"/>
      <c r="X17" t="str">
        <v>SP851</v>
      </c>
      <c r="Y17"/>
      <c r="Z17" s="25" t="s">
        <v>116</v>
      </c>
      <c r="AA17" s="25" t="s">
        <v>27</v>
      </c>
      <c r="AB17" s="25"/>
      <c r="AC17" s="25">
        <v>13</v>
      </c>
      <c r="AD17" s="68">
        <v>45950</v>
      </c>
      <c r="AE17" s="25" t="s">
        <v>128</v>
      </c>
      <c r="AJ17" s="81"/>
      <c r="AN17" s="53" t="s">
        <v>129</v>
      </c>
      <c r="AO17" s="55" t="s">
        <v>130</v>
      </c>
      <c r="AS17" s="82"/>
    </row>
    <row r="18" spans="6:45">
      <c r="F18"/>
      <c r="G18" s="14" t="s">
        <v>123</v>
      </c>
      <c r="H18" s="14"/>
      <c r="I18" s="14" t="s">
        <v>131</v>
      </c>
      <c r="J18" s="14" t="s">
        <v>43</v>
      </c>
      <c r="K18" s="14" t="s">
        <v>98</v>
      </c>
      <c r="L18" s="79">
        <v>7300012345674</v>
      </c>
      <c r="M18" s="14" t="s">
        <v>45</v>
      </c>
      <c r="N18" s="14">
        <v>0.42</v>
      </c>
      <c r="O18" s="80"/>
      <c r="P18" s="106">
        <f>SUMIF(movementData[Product '#],ProductData[[#This Row],[Product '#]],movementData[Qty])</f>
        <v>28</v>
      </c>
      <c r="Q18" s="113">
        <f>+ProductData[[#This Row],[Unit Price]]*ProductData[[#This Row],[Qty on Hand]]</f>
        <v>11.76</v>
      </c>
      <c r="R18" s="14" t="s">
        <v>127</v>
      </c>
      <c r="S18" s="109">
        <v>5</v>
      </c>
      <c r="T18" s="118">
        <f>IF(ProductData[[#This Row],[Qty on Hand]]&lt;ProductData[[#This Row],[Reorder Point]],+ProductData[[#This Row],[Reorder Point]]-ProductData[[#This Row],[Qty on Hand]],0)</f>
        <v>0</v>
      </c>
      <c r="U18" s="44">
        <f>+ProductData[[#This Row],[Reorder Qty]]*ProductData[[#This Row],[Unit Price]]</f>
        <v>0</v>
      </c>
      <c r="V18" s="14"/>
      <c r="W18"/>
      <c r="X18" t="str">
        <v>ST715482</v>
      </c>
      <c r="Y18"/>
      <c r="Z18" s="25" t="s">
        <v>70</v>
      </c>
      <c r="AA18" s="25" t="s">
        <v>27</v>
      </c>
      <c r="AB18" s="25"/>
      <c r="AC18" s="25">
        <v>13</v>
      </c>
      <c r="AD18" s="68">
        <v>45847</v>
      </c>
      <c r="AE18" s="25" t="s">
        <v>128</v>
      </c>
      <c r="AJ18" s="81"/>
      <c r="AN18" s="54" t="s">
        <v>132</v>
      </c>
      <c r="AO18" s="56" t="s">
        <v>133</v>
      </c>
      <c r="AS18" s="82"/>
    </row>
    <row r="19" spans="6:45">
      <c r="F19"/>
      <c r="G19" s="14" t="s">
        <v>134</v>
      </c>
      <c r="H19" s="14"/>
      <c r="I19" s="14" t="s">
        <v>135</v>
      </c>
      <c r="J19" s="14" t="s">
        <v>43</v>
      </c>
      <c r="K19" s="14" t="s">
        <v>44</v>
      </c>
      <c r="L19" s="79">
        <v>4006381333931</v>
      </c>
      <c r="M19" s="14" t="s">
        <v>45</v>
      </c>
      <c r="N19" s="14">
        <v>2.65</v>
      </c>
      <c r="O19" s="80"/>
      <c r="P19" s="106">
        <f>SUMIF(movementData[Product '#],ProductData[[#This Row],[Product '#]],movementData[Qty])</f>
        <v>-16</v>
      </c>
      <c r="Q19" s="113">
        <f>+ProductData[[#This Row],[Unit Price]]*ProductData[[#This Row],[Qty on Hand]]</f>
        <v>-42.4</v>
      </c>
      <c r="R19" s="14" t="s">
        <v>136</v>
      </c>
      <c r="S19" s="109">
        <v>10</v>
      </c>
      <c r="T19" s="118">
        <f>IF(ProductData[[#This Row],[Qty on Hand]]&lt;ProductData[[#This Row],[Reorder Point]],+ProductData[[#This Row],[Reorder Point]]-ProductData[[#This Row],[Qty on Hand]],0)</f>
        <v>26</v>
      </c>
      <c r="U19" s="44">
        <f>+ProductData[[#This Row],[Reorder Qty]]*ProductData[[#This Row],[Unit Price]]</f>
        <v>68.899999999999991</v>
      </c>
      <c r="V19" s="14"/>
      <c r="W19"/>
      <c r="X19" t="str">
        <v>ST946105</v>
      </c>
      <c r="Y19"/>
      <c r="Z19" s="25" t="s">
        <v>82</v>
      </c>
      <c r="AA19" s="25" t="s">
        <v>25</v>
      </c>
      <c r="AB19" s="25"/>
      <c r="AC19" s="25">
        <v>-6</v>
      </c>
      <c r="AD19" s="68">
        <v>45848</v>
      </c>
      <c r="AE19" s="25" t="s">
        <v>60</v>
      </c>
      <c r="AJ19" s="81"/>
      <c r="AN19" s="53" t="s">
        <v>137</v>
      </c>
      <c r="AO19" s="55" t="s">
        <v>138</v>
      </c>
      <c r="AS19" s="82"/>
    </row>
    <row r="20" spans="6:45">
      <c r="F20"/>
      <c r="G20" s="120" t="s">
        <v>139</v>
      </c>
      <c r="H20" s="120"/>
      <c r="I20" s="120" t="s">
        <v>140</v>
      </c>
      <c r="J20" s="121" t="s">
        <v>43</v>
      </c>
      <c r="K20" s="122" t="s">
        <v>78</v>
      </c>
      <c r="L20" s="123">
        <v>8076352418321</v>
      </c>
      <c r="M20" s="120" t="s">
        <v>49</v>
      </c>
      <c r="N20" s="124">
        <v>1.2</v>
      </c>
      <c r="O20" s="125"/>
      <c r="P20" s="126">
        <f>SUMIF(movementData[Product '#],ProductData[[#This Row],[Product '#]],movementData[Qty])</f>
        <v>15</v>
      </c>
      <c r="Q20" s="127">
        <f>+ProductData[[#This Row],[Unit Price]]*ProductData[[#This Row],[Qty on Hand]]</f>
        <v>18</v>
      </c>
      <c r="R20" s="128" t="s">
        <v>141</v>
      </c>
      <c r="S20" s="129">
        <v>10</v>
      </c>
      <c r="T20" s="130">
        <f>IF(ProductData[[#This Row],[Qty on Hand]]&lt;ProductData[[#This Row],[Reorder Point]],+ProductData[[#This Row],[Reorder Point]]-ProductData[[#This Row],[Qty on Hand]],0)</f>
        <v>0</v>
      </c>
      <c r="U20" s="131">
        <f>+ProductData[[#This Row],[Reorder Qty]]*ProductData[[#This Row],[Unit Price]]</f>
        <v>0</v>
      </c>
      <c r="V20" s="120" t="s">
        <v>142</v>
      </c>
      <c r="W20"/>
      <c r="X20" t="str">
        <v>UV230598</v>
      </c>
      <c r="Y20"/>
      <c r="Z20" s="25" t="s">
        <v>116</v>
      </c>
      <c r="AA20" s="25" t="s">
        <v>25</v>
      </c>
      <c r="AB20" s="25"/>
      <c r="AC20" s="25">
        <v>-6</v>
      </c>
      <c r="AD20" s="68">
        <v>45767</v>
      </c>
      <c r="AE20" s="25" t="s">
        <v>72</v>
      </c>
      <c r="AJ20" s="81"/>
      <c r="AN20" s="54" t="s">
        <v>143</v>
      </c>
      <c r="AO20" s="56" t="s">
        <v>144</v>
      </c>
      <c r="AS20" s="82"/>
    </row>
    <row r="21" spans="6:45">
      <c r="F21"/>
      <c r="G21" s="14" t="s">
        <v>145</v>
      </c>
      <c r="H21" s="14"/>
      <c r="I21" s="14" t="s">
        <v>146</v>
      </c>
      <c r="J21" s="14" t="s">
        <v>43</v>
      </c>
      <c r="K21" s="14" t="s">
        <v>78</v>
      </c>
      <c r="L21" s="79">
        <v>8076352238325</v>
      </c>
      <c r="M21" s="14" t="s">
        <v>49</v>
      </c>
      <c r="N21" s="14">
        <v>1.45</v>
      </c>
      <c r="O21" s="80"/>
      <c r="P21" s="106">
        <f>SUMIF(movementData[Product '#],ProductData[[#This Row],[Product '#]],movementData[Qty])</f>
        <v>0</v>
      </c>
      <c r="Q21" s="113">
        <f>+ProductData[[#This Row],[Unit Price]]*ProductData[[#This Row],[Qty on Hand]]</f>
        <v>0</v>
      </c>
      <c r="R21" s="14" t="s">
        <v>147</v>
      </c>
      <c r="S21" s="109">
        <v>10</v>
      </c>
      <c r="T21" s="118">
        <f>IF(ProductData[[#This Row],[Qty on Hand]]&lt;ProductData[[#This Row],[Reorder Point]],+ProductData[[#This Row],[Reorder Point]]-ProductData[[#This Row],[Qty on Hand]],0)</f>
        <v>10</v>
      </c>
      <c r="U21" s="44">
        <f>+ProductData[[#This Row],[Reorder Qty]]*ProductData[[#This Row],[Unit Price]]</f>
        <v>14.5</v>
      </c>
      <c r="V21" s="14" t="s">
        <v>148</v>
      </c>
      <c r="W21"/>
      <c r="X21" t="str">
        <v>YZ541763</v>
      </c>
      <c r="Y21"/>
      <c r="Z21" s="25" t="s">
        <v>53</v>
      </c>
      <c r="AA21" s="25" t="s">
        <v>26</v>
      </c>
      <c r="AB21" s="25" t="s">
        <v>149</v>
      </c>
      <c r="AC21" s="25">
        <v>15</v>
      </c>
      <c r="AD21" s="68">
        <v>45912</v>
      </c>
      <c r="AE21" s="25" t="s">
        <v>91</v>
      </c>
      <c r="AJ21" s="81"/>
      <c r="AN21" s="53" t="s">
        <v>150</v>
      </c>
      <c r="AO21" s="55" t="s">
        <v>151</v>
      </c>
      <c r="AS21" s="82"/>
    </row>
    <row r="22" spans="6:45">
      <c r="F22"/>
      <c r="I22"/>
      <c r="J22"/>
      <c r="K22"/>
      <c r="L22"/>
      <c r="M22"/>
      <c r="N22"/>
      <c r="O22" s="94"/>
      <c r="P22" s="107"/>
      <c r="Q22" s="114"/>
      <c r="R22"/>
      <c r="S22" s="109"/>
      <c r="T22" s="119"/>
      <c r="U22"/>
      <c r="V22"/>
      <c r="W22"/>
      <c r="X22"/>
      <c r="Y22"/>
      <c r="Z22" s="25" t="s">
        <v>111</v>
      </c>
      <c r="AA22" s="25" t="s">
        <v>27</v>
      </c>
      <c r="AB22" s="25"/>
      <c r="AC22" s="25">
        <v>-2</v>
      </c>
      <c r="AD22" s="68">
        <v>45818</v>
      </c>
      <c r="AE22" s="25" t="s">
        <v>91</v>
      </c>
      <c r="AJ22" s="81"/>
      <c r="AN22" s="59" t="s">
        <v>152</v>
      </c>
      <c r="AO22" s="60" t="s">
        <v>153</v>
      </c>
      <c r="AS22" s="82"/>
    </row>
    <row r="23" spans="6:45">
      <c r="F23"/>
      <c r="I23"/>
      <c r="J23"/>
      <c r="K23"/>
      <c r="L23"/>
      <c r="M23"/>
      <c r="N23"/>
      <c r="O23" s="94"/>
      <c r="P23" s="107"/>
      <c r="Q23" s="114"/>
      <c r="R23"/>
      <c r="S23" s="109"/>
      <c r="T23" s="119"/>
      <c r="U23"/>
      <c r="V23"/>
      <c r="W23"/>
      <c r="X23"/>
      <c r="Y23"/>
      <c r="Z23" s="25" t="s">
        <v>41</v>
      </c>
      <c r="AA23" s="25" t="s">
        <v>27</v>
      </c>
      <c r="AB23" s="25"/>
      <c r="AC23" s="25">
        <v>14</v>
      </c>
      <c r="AD23" s="68">
        <v>45870</v>
      </c>
      <c r="AE23" s="25" t="s">
        <v>128</v>
      </c>
      <c r="AJ23" s="81"/>
      <c r="AS23" s="82"/>
    </row>
    <row r="24" spans="6:45">
      <c r="F24"/>
      <c r="I24"/>
      <c r="J24"/>
      <c r="K24"/>
      <c r="L24"/>
      <c r="M24"/>
      <c r="N24"/>
      <c r="O24" s="94"/>
      <c r="P24" s="107"/>
      <c r="Q24" s="114"/>
      <c r="R24"/>
      <c r="S24" s="109"/>
      <c r="T24" s="119"/>
      <c r="U24"/>
      <c r="V24"/>
      <c r="W24"/>
      <c r="X24"/>
      <c r="Y24"/>
      <c r="Z24" s="25" t="s">
        <v>59</v>
      </c>
      <c r="AA24" s="25" t="s">
        <v>26</v>
      </c>
      <c r="AB24" s="25" t="s">
        <v>154</v>
      </c>
      <c r="AC24" s="25">
        <v>19</v>
      </c>
      <c r="AD24" s="68">
        <v>45888</v>
      </c>
      <c r="AE24" s="25" t="s">
        <v>155</v>
      </c>
      <c r="AJ24" s="81"/>
      <c r="AS24" s="82"/>
    </row>
    <row r="25" spans="6:45">
      <c r="F25"/>
      <c r="J25"/>
      <c r="S25" s="109"/>
      <c r="V25"/>
      <c r="W25"/>
      <c r="X25"/>
      <c r="Y25"/>
      <c r="Z25" s="25" t="s">
        <v>82</v>
      </c>
      <c r="AA25" s="25" t="s">
        <v>27</v>
      </c>
      <c r="AB25" s="25"/>
      <c r="AC25" s="25">
        <v>-9</v>
      </c>
      <c r="AD25" s="68">
        <v>45954</v>
      </c>
      <c r="AE25" s="25" t="s">
        <v>91</v>
      </c>
      <c r="AJ25" s="81"/>
      <c r="AS25" s="82"/>
    </row>
    <row r="26" spans="6:45">
      <c r="F26"/>
      <c r="J26"/>
      <c r="S26" s="109"/>
      <c r="V26"/>
      <c r="W26"/>
      <c r="X26"/>
      <c r="Y26"/>
      <c r="Z26" s="25" t="s">
        <v>47</v>
      </c>
      <c r="AA26" s="25" t="s">
        <v>25</v>
      </c>
      <c r="AB26" s="25"/>
      <c r="AC26" s="25">
        <v>-3</v>
      </c>
      <c r="AD26" s="68">
        <v>45837</v>
      </c>
      <c r="AE26" s="25" t="s">
        <v>60</v>
      </c>
      <c r="AJ26" s="81"/>
      <c r="AS26" s="82"/>
    </row>
    <row r="27" spans="6:45">
      <c r="F27"/>
      <c r="J27"/>
      <c r="S27" s="109"/>
      <c r="V27"/>
      <c r="W27"/>
      <c r="X27"/>
      <c r="Y27"/>
      <c r="Z27" s="25" t="s">
        <v>79</v>
      </c>
      <c r="AA27" s="25" t="s">
        <v>26</v>
      </c>
      <c r="AB27" s="25" t="s">
        <v>156</v>
      </c>
      <c r="AC27" s="25">
        <v>10</v>
      </c>
      <c r="AD27" s="68">
        <v>45844</v>
      </c>
      <c r="AE27" s="25" t="s">
        <v>48</v>
      </c>
      <c r="AJ27" s="81"/>
      <c r="AS27" s="82"/>
    </row>
    <row r="28" spans="6:45">
      <c r="F28"/>
      <c r="S28" s="109"/>
      <c r="W28"/>
      <c r="X28"/>
      <c r="Y28"/>
      <c r="Z28" s="25" t="s">
        <v>41</v>
      </c>
      <c r="AA28" s="25" t="s">
        <v>27</v>
      </c>
      <c r="AB28" s="25"/>
      <c r="AC28" s="25">
        <v>1</v>
      </c>
      <c r="AD28" s="68">
        <v>45826</v>
      </c>
      <c r="AE28" s="25" t="s">
        <v>157</v>
      </c>
      <c r="AJ28" s="81"/>
      <c r="AS28" s="82"/>
    </row>
    <row r="29" spans="6:45">
      <c r="F29"/>
      <c r="S29" s="109"/>
      <c r="W29"/>
      <c r="X29"/>
      <c r="Y29"/>
      <c r="Z29" s="25" t="s">
        <v>106</v>
      </c>
      <c r="AA29" s="25" t="s">
        <v>25</v>
      </c>
      <c r="AB29" s="25"/>
      <c r="AC29" s="25">
        <v>-8</v>
      </c>
      <c r="AD29" s="68">
        <v>45929</v>
      </c>
      <c r="AE29" s="25" t="s">
        <v>72</v>
      </c>
      <c r="AJ29" s="81"/>
      <c r="AS29" s="82"/>
    </row>
    <row r="30" spans="6:45" ht="17.25" thickBot="1">
      <c r="F30"/>
      <c r="S30" s="109"/>
      <c r="W30"/>
      <c r="X30"/>
      <c r="Y30"/>
      <c r="Z30" s="25" t="s">
        <v>67</v>
      </c>
      <c r="AA30" s="25" t="s">
        <v>25</v>
      </c>
      <c r="AB30" s="25"/>
      <c r="AC30" s="25">
        <v>-6</v>
      </c>
      <c r="AD30" s="68">
        <v>45873</v>
      </c>
      <c r="AE30" s="25" t="s">
        <v>155</v>
      </c>
      <c r="AF30"/>
      <c r="AG30"/>
      <c r="AJ30" s="83"/>
      <c r="AK30" s="84"/>
      <c r="AL30" s="84"/>
      <c r="AM30" s="84"/>
      <c r="AN30" s="84"/>
      <c r="AO30" s="84"/>
      <c r="AP30" s="84"/>
      <c r="AQ30" s="84"/>
      <c r="AR30" s="84"/>
      <c r="AS30" s="85"/>
    </row>
    <row r="31" spans="6:45">
      <c r="F31"/>
      <c r="S31" s="109"/>
      <c r="W31"/>
      <c r="X31"/>
      <c r="Y31"/>
      <c r="Z31" s="25" t="s">
        <v>134</v>
      </c>
      <c r="AA31" s="25" t="s">
        <v>27</v>
      </c>
      <c r="AB31" s="25"/>
      <c r="AC31" s="25">
        <v>-14</v>
      </c>
      <c r="AD31" s="68">
        <v>45847</v>
      </c>
      <c r="AE31" s="25" t="s">
        <v>128</v>
      </c>
      <c r="AF31"/>
      <c r="AG31"/>
    </row>
    <row r="32" spans="6:45">
      <c r="F32"/>
      <c r="S32" s="109"/>
      <c r="W32"/>
      <c r="X32"/>
      <c r="Y32"/>
      <c r="Z32" s="25" t="s">
        <v>90</v>
      </c>
      <c r="AA32" s="25" t="s">
        <v>27</v>
      </c>
      <c r="AB32" s="25"/>
      <c r="AC32" s="25">
        <v>-11</v>
      </c>
      <c r="AD32" s="68">
        <v>45951</v>
      </c>
      <c r="AE32" s="25" t="s">
        <v>72</v>
      </c>
      <c r="AF32"/>
      <c r="AG32"/>
    </row>
    <row r="33" spans="6:33">
      <c r="F33"/>
      <c r="S33" s="109"/>
      <c r="W33"/>
      <c r="X33"/>
      <c r="Y33"/>
      <c r="Z33" s="25" t="s">
        <v>95</v>
      </c>
      <c r="AA33" s="25" t="s">
        <v>25</v>
      </c>
      <c r="AB33" s="25"/>
      <c r="AC33" s="25">
        <v>-19</v>
      </c>
      <c r="AD33" s="68">
        <v>45919</v>
      </c>
      <c r="AE33" s="25" t="s">
        <v>72</v>
      </c>
      <c r="AF33"/>
      <c r="AG33"/>
    </row>
    <row r="34" spans="6:33">
      <c r="F34"/>
      <c r="S34" s="109"/>
      <c r="W34"/>
      <c r="X34"/>
      <c r="Y34"/>
      <c r="Z34" s="25" t="s">
        <v>82</v>
      </c>
      <c r="AA34" s="25" t="s">
        <v>27</v>
      </c>
      <c r="AB34" s="25"/>
      <c r="AC34" s="25">
        <v>10</v>
      </c>
      <c r="AD34" s="68">
        <v>45837</v>
      </c>
      <c r="AE34" s="25" t="s">
        <v>157</v>
      </c>
      <c r="AF34"/>
      <c r="AG34"/>
    </row>
    <row r="35" spans="6:33">
      <c r="F35"/>
      <c r="S35" s="109"/>
      <c r="W35"/>
      <c r="X35"/>
      <c r="Y35"/>
      <c r="Z35" s="25" t="s">
        <v>111</v>
      </c>
      <c r="AA35" s="25" t="s">
        <v>25</v>
      </c>
      <c r="AB35" s="25"/>
      <c r="AC35" s="25">
        <v>-13</v>
      </c>
      <c r="AD35" s="68">
        <v>45911</v>
      </c>
      <c r="AE35" s="25" t="s">
        <v>155</v>
      </c>
      <c r="AF35"/>
      <c r="AG35"/>
    </row>
    <row r="36" spans="6:33">
      <c r="F36"/>
      <c r="S36" s="109"/>
      <c r="W36"/>
      <c r="X36"/>
      <c r="Y36"/>
      <c r="Z36" s="25" t="s">
        <v>41</v>
      </c>
      <c r="AA36" s="25" t="s">
        <v>26</v>
      </c>
      <c r="AB36" s="25" t="s">
        <v>158</v>
      </c>
      <c r="AC36" s="25">
        <v>1</v>
      </c>
      <c r="AD36" s="68">
        <v>45928</v>
      </c>
      <c r="AE36" s="25" t="s">
        <v>109</v>
      </c>
      <c r="AF36"/>
      <c r="AG36"/>
    </row>
    <row r="37" spans="6:33">
      <c r="F37"/>
      <c r="S37" s="109"/>
      <c r="W37"/>
      <c r="X37"/>
      <c r="Y37"/>
      <c r="Z37" s="25" t="s">
        <v>67</v>
      </c>
      <c r="AA37" s="25" t="s">
        <v>25</v>
      </c>
      <c r="AB37" s="25"/>
      <c r="AC37" s="25">
        <v>-17</v>
      </c>
      <c r="AD37" s="68">
        <v>45950</v>
      </c>
      <c r="AE37" s="25" t="s">
        <v>157</v>
      </c>
      <c r="AF37"/>
      <c r="AG37"/>
    </row>
    <row r="38" spans="6:33">
      <c r="S38" s="109"/>
      <c r="Z38" s="25" t="s">
        <v>134</v>
      </c>
      <c r="AA38" s="25" t="s">
        <v>26</v>
      </c>
      <c r="AB38" s="25" t="s">
        <v>159</v>
      </c>
      <c r="AC38" s="25">
        <v>12</v>
      </c>
      <c r="AD38" s="68">
        <v>45788</v>
      </c>
      <c r="AE38" s="25" t="s">
        <v>91</v>
      </c>
    </row>
    <row r="39" spans="6:33">
      <c r="S39" s="109"/>
      <c r="Z39" s="25" t="s">
        <v>41</v>
      </c>
      <c r="AA39" s="25" t="s">
        <v>25</v>
      </c>
      <c r="AB39" s="25"/>
      <c r="AC39" s="25">
        <v>-20</v>
      </c>
      <c r="AD39" s="68">
        <v>45823</v>
      </c>
      <c r="AE39" s="25" t="s">
        <v>109</v>
      </c>
    </row>
    <row r="40" spans="6:33">
      <c r="S40" s="109"/>
      <c r="Z40" s="25" t="s">
        <v>70</v>
      </c>
      <c r="AA40" s="25" t="s">
        <v>25</v>
      </c>
      <c r="AB40" s="25"/>
      <c r="AC40" s="25">
        <v>-8</v>
      </c>
      <c r="AD40" s="68">
        <v>45955</v>
      </c>
      <c r="AE40" s="25" t="s">
        <v>155</v>
      </c>
    </row>
    <row r="41" spans="6:33">
      <c r="S41" s="109"/>
      <c r="Z41" s="25" t="s">
        <v>82</v>
      </c>
      <c r="AA41" s="25" t="s">
        <v>27</v>
      </c>
      <c r="AB41" s="25"/>
      <c r="AC41" s="25">
        <v>25</v>
      </c>
      <c r="AD41" s="68">
        <v>45964</v>
      </c>
      <c r="AE41" s="25" t="s">
        <v>157</v>
      </c>
    </row>
    <row r="42" spans="6:33">
      <c r="S42" s="109"/>
      <c r="Z42" s="25" t="s">
        <v>70</v>
      </c>
      <c r="AA42" s="25" t="s">
        <v>26</v>
      </c>
      <c r="AB42" s="25" t="s">
        <v>160</v>
      </c>
      <c r="AC42" s="25">
        <v>17</v>
      </c>
      <c r="AD42" s="68">
        <v>45803</v>
      </c>
      <c r="AE42" s="25" t="s">
        <v>48</v>
      </c>
    </row>
    <row r="43" spans="6:33">
      <c r="S43" s="109"/>
      <c r="Z43" s="25" t="s">
        <v>79</v>
      </c>
      <c r="AA43" s="25" t="s">
        <v>26</v>
      </c>
      <c r="AB43" s="25" t="s">
        <v>161</v>
      </c>
      <c r="AC43" s="25">
        <v>6</v>
      </c>
      <c r="AD43" s="68">
        <v>45930</v>
      </c>
      <c r="AE43" s="25" t="s">
        <v>72</v>
      </c>
    </row>
    <row r="44" spans="6:33">
      <c r="S44" s="109"/>
      <c r="Z44" s="25" t="s">
        <v>90</v>
      </c>
      <c r="AA44" s="25" t="s">
        <v>26</v>
      </c>
      <c r="AB44" s="25" t="s">
        <v>162</v>
      </c>
      <c r="AC44" s="25">
        <v>3</v>
      </c>
      <c r="AD44" s="68">
        <v>45814</v>
      </c>
      <c r="AE44" s="25" t="s">
        <v>48</v>
      </c>
    </row>
    <row r="45" spans="6:33">
      <c r="S45" s="109"/>
      <c r="Z45" s="25" t="s">
        <v>59</v>
      </c>
      <c r="AA45" s="25" t="s">
        <v>26</v>
      </c>
      <c r="AB45" s="25" t="s">
        <v>163</v>
      </c>
      <c r="AC45" s="25">
        <v>12</v>
      </c>
      <c r="AD45" s="68">
        <v>45783</v>
      </c>
      <c r="AE45" s="25" t="s">
        <v>48</v>
      </c>
    </row>
    <row r="46" spans="6:33">
      <c r="S46" s="109"/>
      <c r="Z46" s="25" t="s">
        <v>59</v>
      </c>
      <c r="AA46" s="25" t="s">
        <v>27</v>
      </c>
      <c r="AB46" s="25"/>
      <c r="AC46" s="25">
        <v>-18</v>
      </c>
      <c r="AD46" s="68">
        <v>45777</v>
      </c>
      <c r="AE46" s="25" t="s">
        <v>48</v>
      </c>
    </row>
    <row r="47" spans="6:33">
      <c r="S47" s="109"/>
      <c r="Z47" s="25" t="s">
        <v>106</v>
      </c>
      <c r="AA47" s="25" t="s">
        <v>27</v>
      </c>
      <c r="AB47" s="25"/>
      <c r="AC47" s="25">
        <v>102</v>
      </c>
      <c r="AD47" s="68">
        <v>45882</v>
      </c>
      <c r="AE47" s="25" t="s">
        <v>109</v>
      </c>
    </row>
    <row r="48" spans="6:33">
      <c r="S48" s="109"/>
      <c r="Z48" s="25" t="s">
        <v>47</v>
      </c>
      <c r="AA48" s="25" t="s">
        <v>27</v>
      </c>
      <c r="AB48" s="25"/>
      <c r="AC48" s="25">
        <v>-2</v>
      </c>
      <c r="AD48" s="68">
        <v>45858</v>
      </c>
      <c r="AE48" s="25" t="s">
        <v>157</v>
      </c>
    </row>
    <row r="49" spans="19:31">
      <c r="S49" s="109"/>
      <c r="Z49" s="25" t="s">
        <v>116</v>
      </c>
      <c r="AA49" s="25" t="s">
        <v>26</v>
      </c>
      <c r="AB49" s="25" t="s">
        <v>164</v>
      </c>
      <c r="AC49" s="25">
        <v>18</v>
      </c>
      <c r="AD49" s="68">
        <v>45907</v>
      </c>
      <c r="AE49" s="25" t="s">
        <v>155</v>
      </c>
    </row>
    <row r="50" spans="19:31">
      <c r="S50" s="109"/>
      <c r="Z50" s="25" t="s">
        <v>111</v>
      </c>
      <c r="AA50" s="25" t="s">
        <v>27</v>
      </c>
      <c r="AB50" s="25"/>
      <c r="AC50" s="25">
        <v>-19</v>
      </c>
      <c r="AD50" s="68">
        <v>45952</v>
      </c>
      <c r="AE50" s="25" t="s">
        <v>60</v>
      </c>
    </row>
    <row r="51" spans="19:31">
      <c r="S51" s="109"/>
      <c r="Z51" s="25" t="s">
        <v>106</v>
      </c>
      <c r="AA51" s="25" t="s">
        <v>25</v>
      </c>
      <c r="AB51" s="25"/>
      <c r="AC51" s="25">
        <v>-1</v>
      </c>
      <c r="AD51" s="68">
        <v>45922</v>
      </c>
      <c r="AE51" s="25" t="s">
        <v>48</v>
      </c>
    </row>
    <row r="52" spans="19:31">
      <c r="S52" s="109"/>
      <c r="Z52" s="25" t="s">
        <v>41</v>
      </c>
      <c r="AA52" s="25" t="s">
        <v>27</v>
      </c>
      <c r="AB52" s="25"/>
      <c r="AC52" s="25">
        <v>3</v>
      </c>
      <c r="AD52" s="68">
        <v>45793</v>
      </c>
      <c r="AE52" s="25" t="s">
        <v>155</v>
      </c>
    </row>
    <row r="53" spans="19:31">
      <c r="S53" s="109"/>
      <c r="Z53" s="25" t="s">
        <v>95</v>
      </c>
      <c r="AA53" s="25" t="s">
        <v>27</v>
      </c>
      <c r="AB53" s="25"/>
      <c r="AC53" s="25">
        <v>-17</v>
      </c>
      <c r="AD53" s="68">
        <v>45790</v>
      </c>
      <c r="AE53" s="25" t="s">
        <v>72</v>
      </c>
    </row>
    <row r="54" spans="19:31">
      <c r="S54" s="109"/>
      <c r="Z54" s="25" t="s">
        <v>47</v>
      </c>
      <c r="AA54" s="25" t="s">
        <v>27</v>
      </c>
      <c r="AB54" s="25"/>
      <c r="AC54" s="25">
        <v>-6</v>
      </c>
      <c r="AD54" s="68">
        <v>45897</v>
      </c>
      <c r="AE54" s="25" t="s">
        <v>155</v>
      </c>
    </row>
    <row r="55" spans="19:31">
      <c r="S55" s="109"/>
      <c r="Z55" s="25" t="s">
        <v>79</v>
      </c>
      <c r="AA55" s="25" t="s">
        <v>25</v>
      </c>
      <c r="AB55" s="25"/>
      <c r="AC55" s="25">
        <v>-10</v>
      </c>
      <c r="AD55" s="68">
        <v>45780</v>
      </c>
      <c r="AE55" s="25" t="s">
        <v>157</v>
      </c>
    </row>
    <row r="56" spans="19:31">
      <c r="S56" s="109"/>
      <c r="Z56" s="25" t="s">
        <v>134</v>
      </c>
      <c r="AA56" s="25" t="s">
        <v>25</v>
      </c>
      <c r="AB56" s="25"/>
      <c r="AC56" s="25">
        <v>-15</v>
      </c>
      <c r="AD56" s="68">
        <v>45860</v>
      </c>
      <c r="AE56" s="25" t="s">
        <v>48</v>
      </c>
    </row>
    <row r="57" spans="19:31">
      <c r="S57" s="109"/>
      <c r="Z57" s="25" t="s">
        <v>79</v>
      </c>
      <c r="AA57" s="25" t="s">
        <v>27</v>
      </c>
      <c r="AB57" s="25"/>
      <c r="AC57" s="25">
        <v>200</v>
      </c>
      <c r="AD57" s="68">
        <v>45783</v>
      </c>
      <c r="AE57" s="25" t="s">
        <v>48</v>
      </c>
    </row>
    <row r="58" spans="19:31">
      <c r="S58" s="109"/>
      <c r="Z58" s="25" t="s">
        <v>116</v>
      </c>
      <c r="AA58" s="25" t="s">
        <v>27</v>
      </c>
      <c r="AB58" s="25"/>
      <c r="AC58" s="25">
        <v>-9</v>
      </c>
      <c r="AD58" s="68">
        <v>45756</v>
      </c>
      <c r="AE58" s="25" t="s">
        <v>72</v>
      </c>
    </row>
    <row r="59" spans="19:31">
      <c r="S59" s="109"/>
      <c r="Z59" s="25" t="s">
        <v>67</v>
      </c>
      <c r="AA59" s="25" t="s">
        <v>25</v>
      </c>
      <c r="AB59" s="25"/>
      <c r="AC59" s="25">
        <v>-13</v>
      </c>
      <c r="AD59" s="68">
        <v>45849</v>
      </c>
      <c r="AE59" s="25" t="s">
        <v>48</v>
      </c>
    </row>
    <row r="60" spans="19:31">
      <c r="S60" s="109"/>
      <c r="Z60" s="25" t="s">
        <v>67</v>
      </c>
      <c r="AA60" s="25" t="s">
        <v>26</v>
      </c>
      <c r="AB60" s="25" t="s">
        <v>165</v>
      </c>
      <c r="AC60" s="25">
        <v>3</v>
      </c>
      <c r="AD60" s="68">
        <v>45813</v>
      </c>
      <c r="AE60" s="25" t="s">
        <v>48</v>
      </c>
    </row>
    <row r="61" spans="19:31">
      <c r="S61" s="109"/>
      <c r="Z61" s="25" t="s">
        <v>123</v>
      </c>
      <c r="AA61" s="25" t="s">
        <v>27</v>
      </c>
      <c r="AB61" s="25"/>
      <c r="AC61" s="25">
        <v>50</v>
      </c>
      <c r="AD61" s="68">
        <v>45805</v>
      </c>
      <c r="AE61" s="25" t="s">
        <v>128</v>
      </c>
    </row>
    <row r="62" spans="19:31">
      <c r="S62" s="109"/>
      <c r="Z62" s="25" t="s">
        <v>90</v>
      </c>
      <c r="AA62" s="25" t="s">
        <v>27</v>
      </c>
      <c r="AB62" s="25"/>
      <c r="AC62" s="25">
        <v>-8</v>
      </c>
      <c r="AD62" s="68">
        <v>45908</v>
      </c>
      <c r="AE62" s="25" t="s">
        <v>91</v>
      </c>
    </row>
    <row r="63" spans="19:31">
      <c r="S63" s="109"/>
      <c r="Z63" s="25" t="s">
        <v>123</v>
      </c>
      <c r="AA63" s="25" t="s">
        <v>26</v>
      </c>
      <c r="AB63" s="25" t="s">
        <v>166</v>
      </c>
      <c r="AC63" s="25">
        <v>9</v>
      </c>
      <c r="AD63" s="68">
        <v>45799</v>
      </c>
      <c r="AE63" s="25" t="s">
        <v>128</v>
      </c>
    </row>
    <row r="64" spans="19:31">
      <c r="S64" s="109"/>
      <c r="Z64" s="25" t="s">
        <v>47</v>
      </c>
      <c r="AA64" s="25" t="s">
        <v>27</v>
      </c>
      <c r="AB64" s="25"/>
      <c r="AC64" s="25">
        <v>-13</v>
      </c>
      <c r="AD64" s="68">
        <v>45807</v>
      </c>
      <c r="AE64" s="25" t="s">
        <v>109</v>
      </c>
    </row>
    <row r="65" spans="19:31">
      <c r="S65" s="109"/>
      <c r="Z65" s="25" t="s">
        <v>41</v>
      </c>
      <c r="AA65" s="25" t="s">
        <v>26</v>
      </c>
      <c r="AB65" s="25" t="s">
        <v>167</v>
      </c>
      <c r="AC65" s="25">
        <v>14</v>
      </c>
      <c r="AD65" s="68">
        <v>45828</v>
      </c>
      <c r="AE65" s="25" t="s">
        <v>91</v>
      </c>
    </row>
    <row r="66" spans="19:31">
      <c r="S66" s="109"/>
      <c r="Z66" s="25" t="s">
        <v>41</v>
      </c>
      <c r="AA66" s="25" t="s">
        <v>27</v>
      </c>
      <c r="AB66" s="25"/>
      <c r="AC66" s="25">
        <v>-1</v>
      </c>
      <c r="AD66" s="68">
        <v>45785</v>
      </c>
      <c r="AE66" s="25" t="s">
        <v>91</v>
      </c>
    </row>
    <row r="67" spans="19:31">
      <c r="S67" s="109"/>
      <c r="Z67" s="25" t="s">
        <v>134</v>
      </c>
      <c r="AA67" s="25" t="s">
        <v>26</v>
      </c>
      <c r="AB67" s="25" t="s">
        <v>168</v>
      </c>
      <c r="AC67" s="25">
        <v>4</v>
      </c>
      <c r="AD67" s="68">
        <v>45919</v>
      </c>
      <c r="AE67" s="25" t="s">
        <v>72</v>
      </c>
    </row>
    <row r="68" spans="19:31">
      <c r="S68" s="109"/>
      <c r="Z68" s="25" t="s">
        <v>79</v>
      </c>
      <c r="AA68" s="25" t="s">
        <v>26</v>
      </c>
      <c r="AB68" s="25" t="s">
        <v>169</v>
      </c>
      <c r="AC68" s="25">
        <v>8</v>
      </c>
      <c r="AD68" s="68">
        <v>45822</v>
      </c>
      <c r="AE68" s="25" t="s">
        <v>60</v>
      </c>
    </row>
    <row r="69" spans="19:31">
      <c r="S69" s="109"/>
      <c r="Z69" s="25" t="s">
        <v>47</v>
      </c>
      <c r="AA69" s="25" t="s">
        <v>26</v>
      </c>
      <c r="AB69" s="25" t="s">
        <v>170</v>
      </c>
      <c r="AC69" s="25">
        <v>12</v>
      </c>
      <c r="AD69" s="68">
        <v>45868</v>
      </c>
      <c r="AE69" s="25" t="s">
        <v>91</v>
      </c>
    </row>
    <row r="70" spans="19:31">
      <c r="S70" s="109"/>
      <c r="Z70" s="25" t="s">
        <v>95</v>
      </c>
      <c r="AA70" s="25" t="s">
        <v>26</v>
      </c>
      <c r="AB70" s="25" t="s">
        <v>171</v>
      </c>
      <c r="AC70" s="25">
        <v>10.5</v>
      </c>
      <c r="AD70" s="68">
        <v>45878</v>
      </c>
      <c r="AE70" s="25" t="s">
        <v>72</v>
      </c>
    </row>
    <row r="71" spans="19:31">
      <c r="S71" s="109"/>
      <c r="Z71" s="25" t="s">
        <v>79</v>
      </c>
      <c r="AA71" s="25" t="s">
        <v>25</v>
      </c>
      <c r="AB71" s="25"/>
      <c r="AC71" s="25">
        <v>-3</v>
      </c>
      <c r="AD71" s="68">
        <v>45867</v>
      </c>
      <c r="AE71" s="25" t="s">
        <v>48</v>
      </c>
    </row>
    <row r="72" spans="19:31">
      <c r="S72" s="109"/>
      <c r="Z72" s="25" t="s">
        <v>53</v>
      </c>
      <c r="AA72" s="25" t="s">
        <v>26</v>
      </c>
      <c r="AB72" s="25" t="s">
        <v>172</v>
      </c>
      <c r="AC72" s="25">
        <v>10</v>
      </c>
      <c r="AD72" s="68">
        <v>45857</v>
      </c>
      <c r="AE72" s="25" t="s">
        <v>91</v>
      </c>
    </row>
    <row r="73" spans="19:31">
      <c r="S73" s="109"/>
      <c r="Z73" s="25" t="s">
        <v>116</v>
      </c>
      <c r="AA73" s="25" t="s">
        <v>26</v>
      </c>
      <c r="AB73" s="25" t="s">
        <v>173</v>
      </c>
      <c r="AC73" s="25">
        <v>14</v>
      </c>
      <c r="AD73" s="68">
        <v>45927</v>
      </c>
      <c r="AE73" s="25" t="s">
        <v>72</v>
      </c>
    </row>
    <row r="74" spans="19:31">
      <c r="S74" s="109"/>
      <c r="Z74" s="25" t="s">
        <v>95</v>
      </c>
      <c r="AA74" s="25" t="s">
        <v>26</v>
      </c>
      <c r="AB74" s="25" t="s">
        <v>174</v>
      </c>
      <c r="AC74" s="25">
        <v>20</v>
      </c>
      <c r="AD74" s="68">
        <v>45874</v>
      </c>
      <c r="AE74" s="25" t="s">
        <v>72</v>
      </c>
    </row>
    <row r="75" spans="19:31">
      <c r="S75" s="109"/>
      <c r="Z75" s="25" t="s">
        <v>70</v>
      </c>
      <c r="AA75" s="25" t="s">
        <v>25</v>
      </c>
      <c r="AB75" s="25"/>
      <c r="AC75" s="25">
        <v>-8</v>
      </c>
      <c r="AD75" s="68">
        <v>45835</v>
      </c>
      <c r="AE75" s="25" t="s">
        <v>48</v>
      </c>
    </row>
    <row r="76" spans="19:31">
      <c r="S76" s="109"/>
      <c r="Z76" s="25" t="s">
        <v>70</v>
      </c>
      <c r="AA76" s="25" t="s">
        <v>27</v>
      </c>
      <c r="AB76" s="25"/>
      <c r="AC76" s="25">
        <v>-13</v>
      </c>
      <c r="AD76" s="68">
        <v>45954</v>
      </c>
      <c r="AE76" s="25" t="s">
        <v>48</v>
      </c>
    </row>
    <row r="77" spans="19:31">
      <c r="S77" s="109"/>
      <c r="Z77" s="25" t="s">
        <v>82</v>
      </c>
      <c r="AA77" s="25" t="s">
        <v>27</v>
      </c>
      <c r="AB77" s="25"/>
      <c r="AC77" s="25">
        <v>5</v>
      </c>
      <c r="AD77" s="68">
        <v>45882</v>
      </c>
      <c r="AE77" s="25" t="s">
        <v>91</v>
      </c>
    </row>
    <row r="78" spans="19:31">
      <c r="S78" s="109"/>
      <c r="Z78" s="25" t="s">
        <v>79</v>
      </c>
      <c r="AA78" s="25" t="s">
        <v>26</v>
      </c>
      <c r="AB78" s="25" t="s">
        <v>175</v>
      </c>
      <c r="AC78" s="25">
        <v>14</v>
      </c>
      <c r="AD78" s="68">
        <v>45798</v>
      </c>
      <c r="AE78" s="25" t="s">
        <v>155</v>
      </c>
    </row>
    <row r="79" spans="19:31">
      <c r="S79" s="109"/>
      <c r="Z79" s="25" t="s">
        <v>70</v>
      </c>
      <c r="AA79" s="25" t="s">
        <v>25</v>
      </c>
      <c r="AB79" s="25"/>
      <c r="AC79" s="25">
        <v>-19</v>
      </c>
      <c r="AD79" s="68">
        <v>45782</v>
      </c>
      <c r="AE79" s="25" t="s">
        <v>60</v>
      </c>
    </row>
    <row r="80" spans="19:31">
      <c r="S80" s="109"/>
      <c r="Z80" s="25" t="s">
        <v>82</v>
      </c>
      <c r="AA80" s="25" t="s">
        <v>26</v>
      </c>
      <c r="AB80" s="25" t="s">
        <v>176</v>
      </c>
      <c r="AC80" s="25">
        <v>9</v>
      </c>
      <c r="AD80" s="68">
        <v>45875</v>
      </c>
      <c r="AE80" s="25" t="s">
        <v>91</v>
      </c>
    </row>
    <row r="81" spans="7:31">
      <c r="S81" s="109"/>
      <c r="Z81" s="25" t="s">
        <v>47</v>
      </c>
      <c r="AA81" s="25" t="s">
        <v>27</v>
      </c>
      <c r="AB81" s="25"/>
      <c r="AC81" s="25">
        <v>-12</v>
      </c>
      <c r="AD81" s="68">
        <v>45881</v>
      </c>
      <c r="AE81" s="25" t="s">
        <v>60</v>
      </c>
    </row>
    <row r="82" spans="7:31">
      <c r="S82" s="109"/>
      <c r="Z82" s="25" t="s">
        <v>106</v>
      </c>
      <c r="AA82" s="25" t="s">
        <v>26</v>
      </c>
      <c r="AB82" s="25" t="s">
        <v>177</v>
      </c>
      <c r="AC82" s="25">
        <v>19</v>
      </c>
      <c r="AD82" s="68">
        <v>45793</v>
      </c>
      <c r="AE82" s="25" t="s">
        <v>155</v>
      </c>
    </row>
    <row r="83" spans="7:31">
      <c r="S83" s="109"/>
      <c r="Z83" s="25" t="s">
        <v>59</v>
      </c>
      <c r="AA83" s="25" t="s">
        <v>27</v>
      </c>
      <c r="AB83" s="25"/>
      <c r="AC83" s="25">
        <v>-9</v>
      </c>
      <c r="AD83" s="68">
        <v>45786</v>
      </c>
      <c r="AE83" s="25" t="s">
        <v>109</v>
      </c>
    </row>
    <row r="84" spans="7:31">
      <c r="S84" s="109"/>
      <c r="Z84" s="25" t="s">
        <v>123</v>
      </c>
      <c r="AA84" s="25" t="s">
        <v>25</v>
      </c>
      <c r="AB84" s="25"/>
      <c r="AC84" s="25">
        <v>-11</v>
      </c>
      <c r="AD84" s="68">
        <v>45897</v>
      </c>
      <c r="AE84" s="25" t="s">
        <v>91</v>
      </c>
    </row>
    <row r="85" spans="7:31">
      <c r="S85" s="109"/>
      <c r="Z85" s="25" t="s">
        <v>106</v>
      </c>
      <c r="AA85" s="25" t="s">
        <v>25</v>
      </c>
      <c r="AB85" s="25"/>
      <c r="AC85" s="25">
        <v>-16</v>
      </c>
      <c r="AD85" s="68">
        <v>45904</v>
      </c>
      <c r="AE85" s="25" t="s">
        <v>157</v>
      </c>
    </row>
    <row r="86" spans="7:31">
      <c r="S86" s="109"/>
      <c r="Z86" s="25" t="s">
        <v>67</v>
      </c>
      <c r="AA86" s="25" t="s">
        <v>25</v>
      </c>
      <c r="AB86" s="25"/>
      <c r="AC86" s="25">
        <v>-13</v>
      </c>
      <c r="AD86" s="68">
        <v>45909</v>
      </c>
      <c r="AE86" s="25" t="s">
        <v>72</v>
      </c>
    </row>
    <row r="87" spans="7:31">
      <c r="G87" s="102"/>
      <c r="S87" s="109"/>
      <c r="Z87" s="25" t="s">
        <v>82</v>
      </c>
      <c r="AA87" s="25" t="s">
        <v>26</v>
      </c>
      <c r="AB87" s="25" t="s">
        <v>178</v>
      </c>
      <c r="AC87" s="25">
        <v>7</v>
      </c>
      <c r="AD87" s="68">
        <v>45756</v>
      </c>
      <c r="AE87" s="25" t="s">
        <v>60</v>
      </c>
    </row>
    <row r="88" spans="7:31">
      <c r="S88" s="109"/>
      <c r="Z88" s="25" t="s">
        <v>116</v>
      </c>
      <c r="AA88" s="25" t="s">
        <v>26</v>
      </c>
      <c r="AB88" s="25" t="s">
        <v>179</v>
      </c>
      <c r="AC88" s="25">
        <v>20</v>
      </c>
      <c r="AD88" s="68">
        <v>45760</v>
      </c>
      <c r="AE88" s="25" t="s">
        <v>128</v>
      </c>
    </row>
    <row r="89" spans="7:31">
      <c r="S89" s="109"/>
      <c r="Z89" s="25" t="s">
        <v>47</v>
      </c>
      <c r="AA89" s="25" t="s">
        <v>26</v>
      </c>
      <c r="AB89" s="25" t="s">
        <v>180</v>
      </c>
      <c r="AC89" s="25">
        <v>7</v>
      </c>
      <c r="AD89" s="68">
        <v>45811</v>
      </c>
      <c r="AE89" s="25" t="s">
        <v>128</v>
      </c>
    </row>
    <row r="90" spans="7:31">
      <c r="S90" s="109"/>
      <c r="Z90" s="25" t="s">
        <v>106</v>
      </c>
      <c r="AA90" s="25" t="s">
        <v>25</v>
      </c>
      <c r="AB90" s="25"/>
      <c r="AC90" s="25">
        <v>-6</v>
      </c>
      <c r="AD90" s="68">
        <v>45755</v>
      </c>
      <c r="AE90" s="25" t="s">
        <v>48</v>
      </c>
    </row>
    <row r="91" spans="7:31">
      <c r="S91" s="109"/>
      <c r="Z91" s="25" t="s">
        <v>79</v>
      </c>
      <c r="AA91" s="25" t="s">
        <v>25</v>
      </c>
      <c r="AB91" s="25"/>
      <c r="AC91" s="25">
        <v>-7</v>
      </c>
      <c r="AD91" s="68">
        <v>45923</v>
      </c>
      <c r="AE91" s="25" t="s">
        <v>60</v>
      </c>
    </row>
    <row r="92" spans="7:31">
      <c r="S92" s="109"/>
      <c r="Z92" s="25" t="s">
        <v>90</v>
      </c>
      <c r="AA92" s="25" t="s">
        <v>25</v>
      </c>
      <c r="AB92" s="25"/>
      <c r="AC92" s="25">
        <v>-1</v>
      </c>
      <c r="AD92" s="68">
        <v>45807</v>
      </c>
      <c r="AE92" s="25" t="s">
        <v>157</v>
      </c>
    </row>
    <row r="93" spans="7:31">
      <c r="S93" s="109"/>
      <c r="Z93" s="25" t="s">
        <v>116</v>
      </c>
      <c r="AA93" s="25" t="s">
        <v>27</v>
      </c>
      <c r="AB93" s="25"/>
      <c r="AC93" s="25">
        <v>-40</v>
      </c>
      <c r="AD93" s="68">
        <v>45926</v>
      </c>
      <c r="AE93" s="25" t="s">
        <v>128</v>
      </c>
    </row>
    <row r="94" spans="7:31">
      <c r="S94" s="109"/>
      <c r="Z94" s="25" t="s">
        <v>53</v>
      </c>
      <c r="AA94" s="25" t="s">
        <v>25</v>
      </c>
      <c r="AB94" s="25"/>
      <c r="AC94" s="25">
        <v>-16</v>
      </c>
      <c r="AD94" s="68">
        <v>45752</v>
      </c>
      <c r="AE94" s="25" t="s">
        <v>155</v>
      </c>
    </row>
    <row r="95" spans="7:31">
      <c r="S95" s="109"/>
      <c r="Z95" s="25" t="s">
        <v>95</v>
      </c>
      <c r="AA95" s="25" t="s">
        <v>27</v>
      </c>
      <c r="AB95" s="25"/>
      <c r="AC95" s="25">
        <v>-19</v>
      </c>
      <c r="AD95" s="68">
        <v>45826</v>
      </c>
      <c r="AE95" s="25" t="s">
        <v>128</v>
      </c>
    </row>
    <row r="96" spans="7:31">
      <c r="S96" s="109"/>
      <c r="Z96" s="25" t="s">
        <v>95</v>
      </c>
      <c r="AA96" s="25" t="s">
        <v>26</v>
      </c>
      <c r="AB96" s="25" t="s">
        <v>181</v>
      </c>
      <c r="AC96" s="25">
        <v>14</v>
      </c>
      <c r="AD96" s="68">
        <v>45864</v>
      </c>
      <c r="AE96" s="25" t="s">
        <v>60</v>
      </c>
    </row>
    <row r="97" spans="19:31">
      <c r="S97" s="109"/>
      <c r="Z97" s="25" t="s">
        <v>111</v>
      </c>
      <c r="AA97" s="25" t="s">
        <v>27</v>
      </c>
      <c r="AB97" s="25"/>
      <c r="AC97" s="25">
        <v>-4</v>
      </c>
      <c r="AD97" s="68">
        <v>45799</v>
      </c>
      <c r="AE97" s="25" t="s">
        <v>72</v>
      </c>
    </row>
    <row r="98" spans="19:31">
      <c r="S98" s="109"/>
      <c r="Z98" s="25" t="s">
        <v>82</v>
      </c>
      <c r="AA98" s="25" t="s">
        <v>26</v>
      </c>
      <c r="AB98" s="25" t="s">
        <v>182</v>
      </c>
      <c r="AC98" s="25">
        <v>14</v>
      </c>
      <c r="AD98" s="68">
        <v>45780</v>
      </c>
      <c r="AE98" s="25" t="s">
        <v>109</v>
      </c>
    </row>
    <row r="99" spans="19:31">
      <c r="S99" s="109"/>
      <c r="Z99" s="25" t="s">
        <v>70</v>
      </c>
      <c r="AA99" s="25" t="s">
        <v>27</v>
      </c>
      <c r="AB99" s="25"/>
      <c r="AC99" s="25">
        <v>-10</v>
      </c>
      <c r="AD99" s="68">
        <v>45826</v>
      </c>
      <c r="AE99" s="25" t="s">
        <v>48</v>
      </c>
    </row>
    <row r="100" spans="19:31">
      <c r="S100" s="109"/>
      <c r="Z100" s="25" t="s">
        <v>41</v>
      </c>
      <c r="AA100" s="25" t="s">
        <v>26</v>
      </c>
      <c r="AB100" s="25" t="s">
        <v>183</v>
      </c>
      <c r="AC100" s="25">
        <v>6</v>
      </c>
      <c r="AD100" s="68">
        <v>45822</v>
      </c>
      <c r="AE100" s="25" t="s">
        <v>72</v>
      </c>
    </row>
    <row r="101" spans="19:31">
      <c r="S101" s="109"/>
      <c r="Z101" s="25" t="s">
        <v>111</v>
      </c>
      <c r="AA101" s="25" t="s">
        <v>27</v>
      </c>
      <c r="AB101" s="25"/>
      <c r="AC101" s="25">
        <v>-14</v>
      </c>
      <c r="AD101" s="68">
        <v>45803</v>
      </c>
      <c r="AE101" s="25" t="s">
        <v>128</v>
      </c>
    </row>
    <row r="102" spans="19:31">
      <c r="S102" s="109"/>
      <c r="Z102" s="25" t="s">
        <v>90</v>
      </c>
      <c r="AA102" s="25" t="s">
        <v>25</v>
      </c>
      <c r="AB102" s="25"/>
      <c r="AC102" s="25">
        <v>-18</v>
      </c>
      <c r="AD102" s="68">
        <v>45858</v>
      </c>
      <c r="AE102" s="25" t="s">
        <v>155</v>
      </c>
    </row>
    <row r="103" spans="19:31">
      <c r="S103" s="109"/>
      <c r="Z103" s="25" t="s">
        <v>134</v>
      </c>
      <c r="AA103" s="25" t="s">
        <v>26</v>
      </c>
      <c r="AB103" s="25" t="s">
        <v>184</v>
      </c>
      <c r="AC103" s="25">
        <v>2</v>
      </c>
      <c r="AD103" s="68">
        <v>45971</v>
      </c>
      <c r="AE103" s="25" t="s">
        <v>157</v>
      </c>
    </row>
    <row r="104" spans="19:31">
      <c r="S104" s="109"/>
      <c r="Z104" s="25" t="s">
        <v>134</v>
      </c>
      <c r="AA104" s="25" t="s">
        <v>25</v>
      </c>
      <c r="AB104" s="25"/>
      <c r="AC104" s="25">
        <v>-5</v>
      </c>
      <c r="AD104" s="68">
        <v>45972</v>
      </c>
      <c r="AE104" s="25" t="s">
        <v>185</v>
      </c>
    </row>
    <row r="105" spans="19:31">
      <c r="S105" s="109"/>
      <c r="Z105" s="25" t="s">
        <v>53</v>
      </c>
      <c r="AA105" s="25" t="s">
        <v>26</v>
      </c>
      <c r="AB105" s="25" t="s">
        <v>186</v>
      </c>
      <c r="AC105" s="25">
        <v>10</v>
      </c>
      <c r="AD105" s="68">
        <v>45972</v>
      </c>
      <c r="AE105" s="25" t="s">
        <v>187</v>
      </c>
    </row>
    <row r="106" spans="19:31">
      <c r="S106" s="109"/>
      <c r="Z106" s="25" t="s">
        <v>53</v>
      </c>
      <c r="AA106" s="25" t="s">
        <v>26</v>
      </c>
      <c r="AB106" s="25" t="s">
        <v>188</v>
      </c>
      <c r="AC106" s="25">
        <v>10</v>
      </c>
      <c r="AD106" s="68">
        <v>45972</v>
      </c>
      <c r="AE106" s="25" t="s">
        <v>189</v>
      </c>
    </row>
    <row r="107" spans="19:31">
      <c r="S107" s="109"/>
      <c r="Z107" s="25" t="s">
        <v>53</v>
      </c>
      <c r="AA107" s="25" t="s">
        <v>25</v>
      </c>
      <c r="AB107" s="25"/>
      <c r="AC107" s="25">
        <v>-10</v>
      </c>
      <c r="AD107" s="68">
        <v>45972</v>
      </c>
      <c r="AE107" s="25" t="s">
        <v>190</v>
      </c>
    </row>
    <row r="108" spans="19:31">
      <c r="S108" s="109"/>
      <c r="Z108" s="25" t="s">
        <v>95</v>
      </c>
      <c r="AA108" s="25" t="s">
        <v>26</v>
      </c>
      <c r="AB108" s="25" t="s">
        <v>191</v>
      </c>
      <c r="AC108" s="25">
        <v>40</v>
      </c>
      <c r="AD108" s="68">
        <v>45972</v>
      </c>
      <c r="AE108" s="25" t="s">
        <v>192</v>
      </c>
    </row>
    <row r="109" spans="19:31">
      <c r="S109" s="109"/>
      <c r="Z109" s="25" t="s">
        <v>67</v>
      </c>
      <c r="AA109" s="25" t="s">
        <v>27</v>
      </c>
      <c r="AB109" s="25"/>
      <c r="AC109" s="25">
        <v>46</v>
      </c>
      <c r="AD109" s="68">
        <v>45978</v>
      </c>
      <c r="AE109" s="25" t="s">
        <v>193</v>
      </c>
    </row>
    <row r="110" spans="19:31">
      <c r="S110" s="109"/>
      <c r="Z110" s="25" t="s">
        <v>111</v>
      </c>
      <c r="AA110" s="25" t="s">
        <v>26</v>
      </c>
      <c r="AB110" s="25" t="s">
        <v>194</v>
      </c>
      <c r="AC110" s="25">
        <v>100</v>
      </c>
      <c r="AD110" s="68">
        <v>45978</v>
      </c>
      <c r="AE110" s="25" t="s">
        <v>195</v>
      </c>
    </row>
    <row r="111" spans="19:31">
      <c r="S111" s="109"/>
      <c r="Z111" s="25" t="s">
        <v>111</v>
      </c>
      <c r="AA111" s="25" t="s">
        <v>27</v>
      </c>
      <c r="AB111" s="25"/>
      <c r="AC111" s="25">
        <v>-10</v>
      </c>
      <c r="AD111" s="68">
        <v>45978</v>
      </c>
      <c r="AE111" s="25" t="s">
        <v>196</v>
      </c>
    </row>
    <row r="112" spans="19:31">
      <c r="S112" s="109"/>
      <c r="Z112" s="25" t="s">
        <v>139</v>
      </c>
      <c r="AA112" s="25" t="s">
        <v>26</v>
      </c>
      <c r="AB112" s="25" t="s">
        <v>197</v>
      </c>
      <c r="AC112" s="25">
        <v>15</v>
      </c>
      <c r="AD112" s="68">
        <v>45979</v>
      </c>
      <c r="AE112" s="25" t="s">
        <v>198</v>
      </c>
    </row>
    <row r="113" spans="19:31">
      <c r="S113" s="109"/>
      <c r="Z113" s="25" t="s">
        <v>90</v>
      </c>
      <c r="AA113" s="25" t="s">
        <v>25</v>
      </c>
      <c r="AB113" s="25"/>
      <c r="AC113" s="25">
        <v>-5</v>
      </c>
      <c r="AD113" s="68">
        <v>45980</v>
      </c>
      <c r="AE113" s="25" t="s">
        <v>199</v>
      </c>
    </row>
    <row r="114" spans="19:31">
      <c r="S114" s="109"/>
      <c r="Z114" s="25" t="s">
        <v>67</v>
      </c>
      <c r="AA114" s="25" t="s">
        <v>26</v>
      </c>
      <c r="AB114" s="25" t="s">
        <v>200</v>
      </c>
      <c r="AC114" s="25">
        <v>20</v>
      </c>
      <c r="AD114" s="68">
        <v>45980</v>
      </c>
      <c r="AE114" s="25" t="s">
        <v>201</v>
      </c>
    </row>
    <row r="115" spans="19:31">
      <c r="S115" s="109"/>
      <c r="Z115" s="132" t="s">
        <v>123</v>
      </c>
      <c r="AA115" s="132" t="s">
        <v>25</v>
      </c>
      <c r="AB115" s="132"/>
      <c r="AC115" s="132">
        <v>-3</v>
      </c>
      <c r="AD115" s="133">
        <v>45982</v>
      </c>
      <c r="AE115" s="132" t="s">
        <v>202</v>
      </c>
    </row>
    <row r="116" spans="19:31">
      <c r="S116" s="109"/>
    </row>
    <row r="117" spans="19:31">
      <c r="S117" s="109"/>
    </row>
    <row r="118" spans="19:31">
      <c r="S118" s="109"/>
    </row>
    <row r="119" spans="19:31">
      <c r="S119" s="109"/>
    </row>
    <row r="120" spans="19:31">
      <c r="S120" s="109"/>
    </row>
    <row r="121" spans="19:31">
      <c r="S121" s="109"/>
    </row>
    <row r="122" spans="19:31">
      <c r="S122" s="109"/>
    </row>
    <row r="123" spans="19:31">
      <c r="S123" s="109"/>
    </row>
    <row r="124" spans="19:31">
      <c r="S124" s="109"/>
    </row>
    <row r="125" spans="19:31">
      <c r="S125" s="109"/>
    </row>
    <row r="126" spans="19:31">
      <c r="S126" s="109"/>
    </row>
    <row r="127" spans="19:31">
      <c r="S127" s="109"/>
    </row>
    <row r="128" spans="19:31">
      <c r="S128" s="109"/>
    </row>
    <row r="129" spans="19:19">
      <c r="S129" s="109"/>
    </row>
    <row r="130" spans="19:19">
      <c r="S130" s="109"/>
    </row>
    <row r="131" spans="19:19">
      <c r="S131" s="109"/>
    </row>
    <row r="132" spans="19:19">
      <c r="S132" s="109"/>
    </row>
    <row r="133" spans="19:19">
      <c r="S133" s="109"/>
    </row>
    <row r="134" spans="19:19">
      <c r="S134" s="109"/>
    </row>
    <row r="135" spans="19:19">
      <c r="S135" s="109"/>
    </row>
    <row r="136" spans="19:19">
      <c r="S136" s="109"/>
    </row>
    <row r="137" spans="19:19">
      <c r="S137" s="109"/>
    </row>
    <row r="138" spans="19:19">
      <c r="S138" s="109"/>
    </row>
    <row r="139" spans="19:19">
      <c r="S139" s="109"/>
    </row>
    <row r="140" spans="19:19">
      <c r="S140" s="109"/>
    </row>
    <row r="141" spans="19:19">
      <c r="S141" s="109"/>
    </row>
    <row r="142" spans="19:19">
      <c r="S142" s="109"/>
    </row>
    <row r="143" spans="19:19">
      <c r="S143" s="109"/>
    </row>
    <row r="144" spans="19:19">
      <c r="S144" s="109"/>
    </row>
    <row r="145" spans="19:19">
      <c r="S145" s="109"/>
    </row>
    <row r="146" spans="19:19">
      <c r="S146" s="109"/>
    </row>
    <row r="147" spans="19:19">
      <c r="S147" s="109"/>
    </row>
    <row r="148" spans="19:19">
      <c r="S148" s="109"/>
    </row>
    <row r="149" spans="19:19">
      <c r="S149" s="109"/>
    </row>
    <row r="150" spans="19:19">
      <c r="S150" s="109"/>
    </row>
    <row r="151" spans="19:19">
      <c r="S151" s="109"/>
    </row>
    <row r="152" spans="19:19">
      <c r="S152" s="109"/>
    </row>
    <row r="153" spans="19:19">
      <c r="S153" s="109"/>
    </row>
    <row r="154" spans="19:19">
      <c r="S154" s="109"/>
    </row>
    <row r="155" spans="19:19">
      <c r="S155" s="109"/>
    </row>
    <row r="156" spans="19:19">
      <c r="S156" s="109"/>
    </row>
    <row r="157" spans="19:19">
      <c r="S157" s="109"/>
    </row>
    <row r="158" spans="19:19">
      <c r="S158" s="109"/>
    </row>
    <row r="159" spans="19:19">
      <c r="S159" s="109"/>
    </row>
    <row r="160" spans="19:19">
      <c r="S160" s="109"/>
    </row>
    <row r="161" spans="19:19">
      <c r="S161" s="109"/>
    </row>
    <row r="162" spans="19:19">
      <c r="S162" s="109"/>
    </row>
    <row r="163" spans="19:19">
      <c r="S163" s="109"/>
    </row>
    <row r="164" spans="19:19">
      <c r="S164" s="109"/>
    </row>
    <row r="165" spans="19:19">
      <c r="S165" s="109"/>
    </row>
    <row r="166" spans="19:19">
      <c r="S166" s="109"/>
    </row>
    <row r="167" spans="19:19">
      <c r="S167" s="109"/>
    </row>
    <row r="168" spans="19:19">
      <c r="S168" s="109"/>
    </row>
    <row r="169" spans="19:19">
      <c r="S169" s="109"/>
    </row>
    <row r="170" spans="19:19">
      <c r="S170" s="109"/>
    </row>
    <row r="171" spans="19:19">
      <c r="S171" s="109"/>
    </row>
    <row r="172" spans="19:19">
      <c r="S172" s="109"/>
    </row>
    <row r="173" spans="19:19">
      <c r="S173" s="109"/>
    </row>
    <row r="174" spans="19:19">
      <c r="S174" s="109"/>
    </row>
    <row r="175" spans="19:19">
      <c r="S175" s="109"/>
    </row>
    <row r="176" spans="19:19">
      <c r="S176" s="109"/>
    </row>
    <row r="177" spans="19:19">
      <c r="S177" s="109"/>
    </row>
    <row r="178" spans="19:19">
      <c r="S178" s="109"/>
    </row>
    <row r="179" spans="19:19">
      <c r="S179" s="109"/>
    </row>
    <row r="180" spans="19:19">
      <c r="S180" s="109"/>
    </row>
    <row r="181" spans="19:19">
      <c r="S181" s="109"/>
    </row>
    <row r="182" spans="19:19">
      <c r="S182" s="109"/>
    </row>
    <row r="183" spans="19:19">
      <c r="S183" s="109"/>
    </row>
    <row r="184" spans="19:19">
      <c r="S184" s="109"/>
    </row>
    <row r="185" spans="19:19">
      <c r="S185" s="109"/>
    </row>
    <row r="186" spans="19:19">
      <c r="S186" s="109"/>
    </row>
    <row r="187" spans="19:19">
      <c r="S187" s="109"/>
    </row>
    <row r="188" spans="19:19">
      <c r="S188" s="109"/>
    </row>
    <row r="189" spans="19:19">
      <c r="S189" s="109"/>
    </row>
    <row r="190" spans="19:19">
      <c r="S190" s="109"/>
    </row>
    <row r="191" spans="19:19">
      <c r="S191" s="109"/>
    </row>
    <row r="192" spans="19:19">
      <c r="S192" s="109"/>
    </row>
    <row r="193" spans="19:19">
      <c r="S193" s="109"/>
    </row>
    <row r="194" spans="19:19">
      <c r="S194" s="109"/>
    </row>
    <row r="195" spans="19:19">
      <c r="S195" s="109"/>
    </row>
    <row r="196" spans="19:19">
      <c r="S196" s="109"/>
    </row>
    <row r="197" spans="19:19">
      <c r="S197" s="109"/>
    </row>
    <row r="198" spans="19:19">
      <c r="S198" s="109"/>
    </row>
    <row r="199" spans="19:19">
      <c r="S199" s="109"/>
    </row>
    <row r="200" spans="19:19">
      <c r="S200" s="109"/>
    </row>
    <row r="201" spans="19:19">
      <c r="S201" s="109"/>
    </row>
    <row r="202" spans="19:19">
      <c r="S202" s="109"/>
    </row>
    <row r="203" spans="19:19">
      <c r="S203" s="109"/>
    </row>
    <row r="204" spans="19:19">
      <c r="S204" s="109"/>
    </row>
    <row r="205" spans="19:19">
      <c r="S205" s="109"/>
    </row>
    <row r="206" spans="19:19">
      <c r="S206" s="109"/>
    </row>
    <row r="207" spans="19:19">
      <c r="S207" s="109"/>
    </row>
    <row r="208" spans="19:19">
      <c r="S208" s="109"/>
    </row>
    <row r="209" spans="19:19">
      <c r="S209" s="109"/>
    </row>
    <row r="210" spans="19:19">
      <c r="S210" s="109"/>
    </row>
    <row r="211" spans="19:19">
      <c r="S211" s="109"/>
    </row>
    <row r="212" spans="19:19">
      <c r="S212" s="109"/>
    </row>
    <row r="213" spans="19:19">
      <c r="S213" s="109"/>
    </row>
    <row r="214" spans="19:19">
      <c r="S214" s="109"/>
    </row>
    <row r="215" spans="19:19">
      <c r="S215" s="109"/>
    </row>
    <row r="216" spans="19:19">
      <c r="S216" s="109"/>
    </row>
    <row r="217" spans="19:19">
      <c r="S217" s="109"/>
    </row>
    <row r="218" spans="19:19">
      <c r="S218" s="109"/>
    </row>
    <row r="219" spans="19:19">
      <c r="S219" s="109"/>
    </row>
    <row r="220" spans="19:19">
      <c r="S220" s="109"/>
    </row>
    <row r="221" spans="19:19">
      <c r="S221" s="109"/>
    </row>
    <row r="222" spans="19:19">
      <c r="S222" s="109"/>
    </row>
    <row r="223" spans="19:19">
      <c r="S223" s="109"/>
    </row>
    <row r="224" spans="19:19">
      <c r="S224" s="109"/>
    </row>
    <row r="225" spans="19:19">
      <c r="S225" s="109"/>
    </row>
    <row r="226" spans="19:19">
      <c r="S226" s="109"/>
    </row>
    <row r="227" spans="19:19">
      <c r="S227" s="109"/>
    </row>
    <row r="228" spans="19:19">
      <c r="S228" s="109"/>
    </row>
    <row r="229" spans="19:19">
      <c r="S229" s="109"/>
    </row>
    <row r="230" spans="19:19">
      <c r="S230" s="109"/>
    </row>
    <row r="231" spans="19:19">
      <c r="S231" s="109"/>
    </row>
    <row r="232" spans="19:19">
      <c r="S232" s="109"/>
    </row>
    <row r="233" spans="19:19">
      <c r="S233" s="109"/>
    </row>
    <row r="234" spans="19:19">
      <c r="S234" s="109"/>
    </row>
    <row r="235" spans="19:19">
      <c r="S235" s="109"/>
    </row>
    <row r="236" spans="19:19">
      <c r="S236" s="109"/>
    </row>
    <row r="237" spans="19:19">
      <c r="S237" s="109"/>
    </row>
    <row r="238" spans="19:19">
      <c r="S238" s="109"/>
    </row>
    <row r="239" spans="19:19">
      <c r="S239" s="109"/>
    </row>
    <row r="240" spans="19:19">
      <c r="S240" s="109"/>
    </row>
    <row r="241" spans="19:19">
      <c r="S241" s="109"/>
    </row>
    <row r="242" spans="19:19">
      <c r="S242" s="109"/>
    </row>
    <row r="243" spans="19:19">
      <c r="S243" s="109"/>
    </row>
    <row r="244" spans="19:19">
      <c r="S244" s="109"/>
    </row>
    <row r="245" spans="19:19">
      <c r="S245" s="109"/>
    </row>
    <row r="246" spans="19:19">
      <c r="S246" s="109"/>
    </row>
    <row r="247" spans="19:19">
      <c r="S247" s="109"/>
    </row>
    <row r="248" spans="19:19">
      <c r="S248" s="109"/>
    </row>
    <row r="249" spans="19:19">
      <c r="S249" s="109"/>
    </row>
    <row r="250" spans="19:19">
      <c r="S250" s="109"/>
    </row>
    <row r="251" spans="19:19">
      <c r="S251" s="109"/>
    </row>
    <row r="252" spans="19:19">
      <c r="S252" s="109"/>
    </row>
    <row r="253" spans="19:19">
      <c r="S253" s="109"/>
    </row>
    <row r="254" spans="19:19">
      <c r="S254" s="109"/>
    </row>
    <row r="255" spans="19:19">
      <c r="S255" s="109"/>
    </row>
    <row r="256" spans="19:19">
      <c r="S256" s="109"/>
    </row>
    <row r="257" spans="19:19">
      <c r="S257" s="109"/>
    </row>
    <row r="258" spans="19:19">
      <c r="S258" s="109"/>
    </row>
    <row r="259" spans="19:19">
      <c r="S259" s="109"/>
    </row>
    <row r="260" spans="19:19">
      <c r="S260" s="109"/>
    </row>
    <row r="261" spans="19:19">
      <c r="S261" s="109"/>
    </row>
    <row r="262" spans="19:19">
      <c r="S262" s="109"/>
    </row>
    <row r="263" spans="19:19">
      <c r="S263" s="109"/>
    </row>
    <row r="264" spans="19:19">
      <c r="S264" s="109"/>
    </row>
    <row r="265" spans="19:19">
      <c r="S265" s="109"/>
    </row>
    <row r="266" spans="19:19">
      <c r="S266" s="109"/>
    </row>
    <row r="267" spans="19:19">
      <c r="S267" s="109"/>
    </row>
    <row r="268" spans="19:19">
      <c r="S268" s="109"/>
    </row>
    <row r="269" spans="19:19">
      <c r="S269" s="109"/>
    </row>
    <row r="270" spans="19:19">
      <c r="S270" s="109"/>
    </row>
    <row r="271" spans="19:19">
      <c r="S271" s="109"/>
    </row>
    <row r="272" spans="19:19">
      <c r="S272" s="109"/>
    </row>
    <row r="273" spans="19:19">
      <c r="S273" s="109"/>
    </row>
    <row r="274" spans="19:19">
      <c r="S274" s="109"/>
    </row>
    <row r="275" spans="19:19">
      <c r="S275" s="109"/>
    </row>
    <row r="276" spans="19:19">
      <c r="S276" s="109"/>
    </row>
    <row r="277" spans="19:19">
      <c r="S277" s="109"/>
    </row>
    <row r="278" spans="19:19">
      <c r="S278" s="109"/>
    </row>
    <row r="279" spans="19:19">
      <c r="S279" s="109"/>
    </row>
    <row r="280" spans="19:19">
      <c r="S280" s="109"/>
    </row>
    <row r="281" spans="19:19">
      <c r="S281" s="109"/>
    </row>
    <row r="282" spans="19:19">
      <c r="S282" s="109"/>
    </row>
    <row r="283" spans="19:19">
      <c r="S283" s="109"/>
    </row>
    <row r="284" spans="19:19">
      <c r="S284" s="109"/>
    </row>
    <row r="285" spans="19:19">
      <c r="S285" s="109"/>
    </row>
    <row r="286" spans="19:19">
      <c r="S286" s="109"/>
    </row>
    <row r="287" spans="19:19">
      <c r="S287" s="109"/>
    </row>
    <row r="288" spans="19:19">
      <c r="S288" s="109"/>
    </row>
    <row r="289" spans="19:19">
      <c r="S289" s="109"/>
    </row>
    <row r="290" spans="19:19">
      <c r="S290" s="109"/>
    </row>
    <row r="291" spans="19:19">
      <c r="S291" s="109"/>
    </row>
    <row r="292" spans="19:19">
      <c r="S292" s="109"/>
    </row>
    <row r="293" spans="19:19">
      <c r="S293" s="109"/>
    </row>
    <row r="294" spans="19:19">
      <c r="S294" s="109"/>
    </row>
    <row r="295" spans="19:19">
      <c r="S295" s="109"/>
    </row>
    <row r="296" spans="19:19">
      <c r="S296" s="109"/>
    </row>
    <row r="297" spans="19:19">
      <c r="S297" s="109"/>
    </row>
    <row r="298" spans="19:19">
      <c r="S298" s="109"/>
    </row>
    <row r="299" spans="19:19">
      <c r="S299" s="109"/>
    </row>
    <row r="300" spans="19:19">
      <c r="S300" s="109"/>
    </row>
    <row r="301" spans="19:19">
      <c r="S301" s="109"/>
    </row>
    <row r="302" spans="19:19">
      <c r="S302" s="109"/>
    </row>
    <row r="303" spans="19:19">
      <c r="S303" s="109"/>
    </row>
    <row r="304" spans="19:19">
      <c r="S304" s="109"/>
    </row>
    <row r="305" spans="19:19">
      <c r="S305" s="109"/>
    </row>
    <row r="306" spans="19:19">
      <c r="S306" s="109"/>
    </row>
    <row r="307" spans="19:19">
      <c r="S307" s="109"/>
    </row>
    <row r="308" spans="19:19">
      <c r="S308" s="109"/>
    </row>
    <row r="309" spans="19:19">
      <c r="S309" s="109"/>
    </row>
    <row r="310" spans="19:19">
      <c r="S310" s="109"/>
    </row>
    <row r="311" spans="19:19">
      <c r="S311" s="109"/>
    </row>
    <row r="312" spans="19:19">
      <c r="S312" s="109"/>
    </row>
    <row r="313" spans="19:19">
      <c r="S313" s="109"/>
    </row>
    <row r="314" spans="19:19">
      <c r="S314" s="109"/>
    </row>
    <row r="315" spans="19:19">
      <c r="S315" s="109"/>
    </row>
    <row r="316" spans="19:19">
      <c r="S316" s="109"/>
    </row>
    <row r="317" spans="19:19">
      <c r="S317" s="109"/>
    </row>
    <row r="318" spans="19:19">
      <c r="S318" s="109"/>
    </row>
    <row r="319" spans="19:19">
      <c r="S319" s="109"/>
    </row>
    <row r="320" spans="19:19">
      <c r="S320" s="109"/>
    </row>
    <row r="321" spans="19:19">
      <c r="S321" s="109"/>
    </row>
    <row r="322" spans="19:19">
      <c r="S322" s="109"/>
    </row>
    <row r="323" spans="19:19">
      <c r="S323" s="109"/>
    </row>
    <row r="324" spans="19:19">
      <c r="S324" s="109"/>
    </row>
    <row r="325" spans="19:19">
      <c r="S325" s="109"/>
    </row>
    <row r="326" spans="19:19">
      <c r="S326" s="109"/>
    </row>
    <row r="327" spans="19:19">
      <c r="S327" s="109"/>
    </row>
    <row r="328" spans="19:19">
      <c r="S328" s="109"/>
    </row>
    <row r="329" spans="19:19">
      <c r="S329" s="109"/>
    </row>
    <row r="330" spans="19:19">
      <c r="S330" s="109"/>
    </row>
    <row r="331" spans="19:19">
      <c r="S331" s="109"/>
    </row>
    <row r="332" spans="19:19">
      <c r="S332" s="109"/>
    </row>
    <row r="333" spans="19:19">
      <c r="S333" s="109"/>
    </row>
    <row r="334" spans="19:19">
      <c r="S334" s="109"/>
    </row>
    <row r="335" spans="19:19">
      <c r="S335" s="109"/>
    </row>
    <row r="336" spans="19:19">
      <c r="S336" s="109"/>
    </row>
    <row r="337" spans="19:19">
      <c r="S337" s="109"/>
    </row>
    <row r="338" spans="19:19">
      <c r="S338" s="109"/>
    </row>
    <row r="339" spans="19:19">
      <c r="S339" s="109"/>
    </row>
    <row r="340" spans="19:19">
      <c r="S340" s="109"/>
    </row>
    <row r="341" spans="19:19">
      <c r="S341" s="109"/>
    </row>
    <row r="342" spans="19:19">
      <c r="S342" s="109"/>
    </row>
    <row r="343" spans="19:19">
      <c r="S343" s="109"/>
    </row>
    <row r="344" spans="19:19">
      <c r="S344" s="109"/>
    </row>
    <row r="345" spans="19:19">
      <c r="S345" s="109"/>
    </row>
    <row r="346" spans="19:19">
      <c r="S346" s="109"/>
    </row>
    <row r="347" spans="19:19">
      <c r="S347" s="109"/>
    </row>
    <row r="348" spans="19:19">
      <c r="S348" s="109"/>
    </row>
    <row r="349" spans="19:19">
      <c r="S349" s="109"/>
    </row>
    <row r="350" spans="19:19">
      <c r="S350" s="109"/>
    </row>
    <row r="351" spans="19:19">
      <c r="S351" s="109"/>
    </row>
    <row r="352" spans="19:19">
      <c r="S352" s="109"/>
    </row>
    <row r="353" spans="19:19">
      <c r="S353" s="109"/>
    </row>
    <row r="354" spans="19:19">
      <c r="S354" s="109"/>
    </row>
    <row r="355" spans="19:19">
      <c r="S355" s="109"/>
    </row>
    <row r="356" spans="19:19">
      <c r="S356" s="109"/>
    </row>
    <row r="357" spans="19:19">
      <c r="S357" s="109"/>
    </row>
    <row r="358" spans="19:19">
      <c r="S358" s="109"/>
    </row>
    <row r="359" spans="19:19">
      <c r="S359" s="109"/>
    </row>
    <row r="360" spans="19:19">
      <c r="S360" s="109"/>
    </row>
    <row r="361" spans="19:19">
      <c r="S361" s="109"/>
    </row>
    <row r="362" spans="19:19">
      <c r="S362" s="109"/>
    </row>
    <row r="363" spans="19:19">
      <c r="S363" s="109"/>
    </row>
    <row r="364" spans="19:19">
      <c r="S364" s="109"/>
    </row>
    <row r="365" spans="19:19">
      <c r="S365" s="109"/>
    </row>
    <row r="366" spans="19:19">
      <c r="S366" s="109"/>
    </row>
    <row r="367" spans="19:19">
      <c r="S367" s="109"/>
    </row>
    <row r="368" spans="19:19">
      <c r="S368" s="109"/>
    </row>
    <row r="369" spans="19:19">
      <c r="S369" s="109"/>
    </row>
    <row r="370" spans="19:19">
      <c r="S370" s="109"/>
    </row>
    <row r="371" spans="19:19">
      <c r="S371" s="109"/>
    </row>
    <row r="372" spans="19:19">
      <c r="S372" s="109"/>
    </row>
    <row r="373" spans="19:19">
      <c r="S373" s="109"/>
    </row>
    <row r="374" spans="19:19">
      <c r="S374" s="109"/>
    </row>
    <row r="375" spans="19:19">
      <c r="S375" s="109"/>
    </row>
    <row r="376" spans="19:19">
      <c r="S376" s="109"/>
    </row>
    <row r="377" spans="19:19">
      <c r="S377" s="109"/>
    </row>
    <row r="378" spans="19:19">
      <c r="S378" s="109"/>
    </row>
    <row r="379" spans="19:19">
      <c r="S379" s="109"/>
    </row>
    <row r="380" spans="19:19">
      <c r="S380" s="109"/>
    </row>
    <row r="381" spans="19:19">
      <c r="S381" s="109"/>
    </row>
    <row r="382" spans="19:19">
      <c r="S382" s="109"/>
    </row>
    <row r="383" spans="19:19">
      <c r="S383" s="109"/>
    </row>
    <row r="384" spans="19:19">
      <c r="S384" s="109"/>
    </row>
    <row r="385" spans="19:19">
      <c r="S385" s="109"/>
    </row>
    <row r="386" spans="19:19">
      <c r="S386" s="109"/>
    </row>
    <row r="387" spans="19:19">
      <c r="S387" s="109"/>
    </row>
    <row r="388" spans="19:19">
      <c r="S388" s="109"/>
    </row>
    <row r="389" spans="19:19">
      <c r="S389" s="109"/>
    </row>
    <row r="390" spans="19:19">
      <c r="S390" s="109"/>
    </row>
    <row r="391" spans="19:19">
      <c r="S391" s="109"/>
    </row>
    <row r="392" spans="19:19">
      <c r="S392" s="109"/>
    </row>
    <row r="393" spans="19:19">
      <c r="S393" s="109"/>
    </row>
    <row r="394" spans="19:19">
      <c r="S394" s="109"/>
    </row>
    <row r="395" spans="19:19">
      <c r="S395" s="109"/>
    </row>
    <row r="396" spans="19:19">
      <c r="S396" s="109"/>
    </row>
    <row r="397" spans="19:19">
      <c r="S397" s="109"/>
    </row>
    <row r="398" spans="19:19">
      <c r="S398" s="109"/>
    </row>
    <row r="399" spans="19:19">
      <c r="S399" s="109"/>
    </row>
    <row r="400" spans="19:19">
      <c r="S400" s="109"/>
    </row>
    <row r="401" spans="19:19">
      <c r="S401" s="109"/>
    </row>
    <row r="402" spans="19:19">
      <c r="S402" s="109"/>
    </row>
    <row r="403" spans="19:19">
      <c r="S403" s="109"/>
    </row>
    <row r="404" spans="19:19">
      <c r="S404" s="109"/>
    </row>
    <row r="405" spans="19:19">
      <c r="S405" s="109"/>
    </row>
    <row r="406" spans="19:19">
      <c r="S406" s="109"/>
    </row>
    <row r="407" spans="19:19">
      <c r="S407" s="109"/>
    </row>
    <row r="408" spans="19:19">
      <c r="S408" s="109"/>
    </row>
    <row r="409" spans="19:19">
      <c r="S409" s="109"/>
    </row>
    <row r="410" spans="19:19">
      <c r="S410" s="109"/>
    </row>
    <row r="411" spans="19:19">
      <c r="S411" s="109"/>
    </row>
    <row r="412" spans="19:19">
      <c r="S412" s="109"/>
    </row>
    <row r="413" spans="19:19">
      <c r="S413" s="109"/>
    </row>
    <row r="414" spans="19:19">
      <c r="S414" s="109"/>
    </row>
    <row r="415" spans="19:19">
      <c r="S415" s="109"/>
    </row>
    <row r="416" spans="19:19">
      <c r="S416" s="109"/>
    </row>
    <row r="417" spans="19:19">
      <c r="S417" s="109"/>
    </row>
    <row r="418" spans="19:19">
      <c r="S418" s="109"/>
    </row>
    <row r="419" spans="19:19">
      <c r="S419" s="109"/>
    </row>
    <row r="420" spans="19:19">
      <c r="S420" s="109"/>
    </row>
    <row r="421" spans="19:19">
      <c r="S421" s="109"/>
    </row>
    <row r="422" spans="19:19">
      <c r="S422" s="109"/>
    </row>
    <row r="423" spans="19:19">
      <c r="S423" s="109"/>
    </row>
    <row r="424" spans="19:19">
      <c r="S424" s="109"/>
    </row>
    <row r="425" spans="19:19">
      <c r="S425" s="109"/>
    </row>
    <row r="426" spans="19:19">
      <c r="S426" s="109"/>
    </row>
    <row r="427" spans="19:19">
      <c r="S427" s="109"/>
    </row>
    <row r="428" spans="19:19">
      <c r="S428" s="109"/>
    </row>
    <row r="429" spans="19:19">
      <c r="S429" s="109"/>
    </row>
    <row r="430" spans="19:19">
      <c r="S430" s="109"/>
    </row>
    <row r="431" spans="19:19">
      <c r="S431" s="109"/>
    </row>
    <row r="432" spans="19:19">
      <c r="S432" s="109"/>
    </row>
    <row r="433" spans="19:19">
      <c r="S433" s="109"/>
    </row>
    <row r="434" spans="19:19">
      <c r="S434" s="109"/>
    </row>
    <row r="435" spans="19:19">
      <c r="S435" s="109"/>
    </row>
    <row r="436" spans="19:19">
      <c r="S436" s="109"/>
    </row>
    <row r="437" spans="19:19">
      <c r="S437" s="109"/>
    </row>
    <row r="438" spans="19:19">
      <c r="S438" s="109"/>
    </row>
    <row r="439" spans="19:19">
      <c r="S439" s="109"/>
    </row>
    <row r="440" spans="19:19">
      <c r="S440" s="109"/>
    </row>
    <row r="441" spans="19:19">
      <c r="S441" s="109"/>
    </row>
    <row r="442" spans="19:19">
      <c r="S442" s="109"/>
    </row>
    <row r="443" spans="19:19">
      <c r="S443" s="109"/>
    </row>
    <row r="444" spans="19:19">
      <c r="S444" s="109"/>
    </row>
    <row r="445" spans="19:19">
      <c r="S445" s="109"/>
    </row>
    <row r="446" spans="19:19">
      <c r="S446" s="109"/>
    </row>
    <row r="447" spans="19:19">
      <c r="S447" s="109"/>
    </row>
    <row r="448" spans="19:19">
      <c r="S448" s="109"/>
    </row>
    <row r="449" spans="19:19">
      <c r="S449" s="109"/>
    </row>
    <row r="450" spans="19:19">
      <c r="S450" s="109"/>
    </row>
    <row r="451" spans="19:19">
      <c r="S451" s="109"/>
    </row>
    <row r="452" spans="19:19">
      <c r="S452" s="109"/>
    </row>
    <row r="453" spans="19:19">
      <c r="S453" s="109"/>
    </row>
    <row r="454" spans="19:19">
      <c r="S454" s="109"/>
    </row>
    <row r="455" spans="19:19">
      <c r="S455" s="109"/>
    </row>
    <row r="456" spans="19:19">
      <c r="S456" s="109"/>
    </row>
    <row r="457" spans="19:19">
      <c r="S457" s="109"/>
    </row>
    <row r="458" spans="19:19">
      <c r="S458" s="109"/>
    </row>
    <row r="459" spans="19:19">
      <c r="S459" s="109"/>
    </row>
    <row r="460" spans="19:19">
      <c r="S460" s="109"/>
    </row>
    <row r="461" spans="19:19">
      <c r="S461" s="109"/>
    </row>
    <row r="462" spans="19:19">
      <c r="S462" s="109"/>
    </row>
    <row r="463" spans="19:19">
      <c r="S463" s="109"/>
    </row>
    <row r="464" spans="19:19">
      <c r="S464" s="109"/>
    </row>
    <row r="465" spans="19:19">
      <c r="S465" s="109"/>
    </row>
    <row r="466" spans="19:19">
      <c r="S466" s="109"/>
    </row>
    <row r="467" spans="19:19">
      <c r="S467" s="109"/>
    </row>
    <row r="468" spans="19:19">
      <c r="S468" s="109"/>
    </row>
    <row r="469" spans="19:19">
      <c r="S469" s="109"/>
    </row>
    <row r="470" spans="19:19">
      <c r="S470" s="109"/>
    </row>
    <row r="471" spans="19:19">
      <c r="S471" s="109"/>
    </row>
    <row r="472" spans="19:19">
      <c r="S472" s="109"/>
    </row>
    <row r="473" spans="19:19">
      <c r="S473" s="109"/>
    </row>
    <row r="474" spans="19:19">
      <c r="S474" s="109"/>
    </row>
    <row r="475" spans="19:19">
      <c r="S475" s="109"/>
    </row>
    <row r="476" spans="19:19">
      <c r="S476" s="109"/>
    </row>
    <row r="477" spans="19:19">
      <c r="S477" s="109"/>
    </row>
    <row r="478" spans="19:19">
      <c r="S478" s="109"/>
    </row>
    <row r="479" spans="19:19">
      <c r="S479" s="109"/>
    </row>
    <row r="480" spans="19:19">
      <c r="S480" s="109"/>
    </row>
    <row r="481" spans="19:19">
      <c r="S481" s="109"/>
    </row>
    <row r="482" spans="19:19">
      <c r="S482" s="109"/>
    </row>
    <row r="483" spans="19:19">
      <c r="S483" s="109"/>
    </row>
    <row r="484" spans="19:19">
      <c r="S484" s="109"/>
    </row>
    <row r="485" spans="19:19">
      <c r="S485" s="109"/>
    </row>
    <row r="486" spans="19:19">
      <c r="S486" s="109"/>
    </row>
    <row r="487" spans="19:19">
      <c r="S487" s="109"/>
    </row>
    <row r="488" spans="19:19">
      <c r="S488" s="109"/>
    </row>
    <row r="489" spans="19:19">
      <c r="S489" s="109"/>
    </row>
    <row r="490" spans="19:19">
      <c r="S490" s="109"/>
    </row>
    <row r="491" spans="19:19">
      <c r="S491" s="109"/>
    </row>
    <row r="492" spans="19:19">
      <c r="S492" s="109"/>
    </row>
    <row r="493" spans="19:19">
      <c r="S493" s="109"/>
    </row>
    <row r="494" spans="19:19">
      <c r="S494" s="109"/>
    </row>
    <row r="495" spans="19:19">
      <c r="S495" s="109"/>
    </row>
    <row r="496" spans="19:19">
      <c r="S496" s="109"/>
    </row>
    <row r="497" spans="19:19">
      <c r="S497" s="109"/>
    </row>
    <row r="498" spans="19:19">
      <c r="S498" s="109"/>
    </row>
    <row r="499" spans="19:19">
      <c r="S499" s="109"/>
    </row>
    <row r="500" spans="19:19">
      <c r="S500" s="109"/>
    </row>
    <row r="501" spans="19:19">
      <c r="S501" s="109"/>
    </row>
    <row r="502" spans="19:19">
      <c r="S502" s="109"/>
    </row>
    <row r="503" spans="19:19">
      <c r="S503" s="109"/>
    </row>
    <row r="504" spans="19:19">
      <c r="S504" s="109"/>
    </row>
    <row r="505" spans="19:19">
      <c r="S505" s="109"/>
    </row>
    <row r="506" spans="19:19">
      <c r="S506" s="109"/>
    </row>
    <row r="507" spans="19:19">
      <c r="S507" s="109"/>
    </row>
    <row r="508" spans="19:19">
      <c r="S508" s="109"/>
    </row>
    <row r="509" spans="19:19">
      <c r="S509" s="109"/>
    </row>
    <row r="510" spans="19:19">
      <c r="S510" s="109"/>
    </row>
    <row r="511" spans="19:19">
      <c r="S511" s="109"/>
    </row>
    <row r="512" spans="19:19">
      <c r="S512" s="109"/>
    </row>
    <row r="513" spans="19:19">
      <c r="S513" s="109"/>
    </row>
    <row r="514" spans="19:19">
      <c r="S514" s="109"/>
    </row>
    <row r="515" spans="19:19">
      <c r="S515" s="109"/>
    </row>
    <row r="516" spans="19:19">
      <c r="S516" s="109"/>
    </row>
    <row r="517" spans="19:19">
      <c r="S517" s="109"/>
    </row>
    <row r="518" spans="19:19">
      <c r="S518" s="109"/>
    </row>
    <row r="519" spans="19:19">
      <c r="S519" s="109"/>
    </row>
    <row r="520" spans="19:19">
      <c r="S520" s="109"/>
    </row>
    <row r="521" spans="19:19">
      <c r="S521" s="109"/>
    </row>
    <row r="522" spans="19:19">
      <c r="S522" s="109"/>
    </row>
    <row r="523" spans="19:19">
      <c r="S523" s="109"/>
    </row>
    <row r="524" spans="19:19">
      <c r="S524" s="109"/>
    </row>
    <row r="525" spans="19:19">
      <c r="S525" s="109"/>
    </row>
    <row r="526" spans="19:19">
      <c r="S526" s="109"/>
    </row>
    <row r="527" spans="19:19">
      <c r="S527" s="109"/>
    </row>
    <row r="528" spans="19:19">
      <c r="S528" s="109"/>
    </row>
    <row r="529" spans="19:19">
      <c r="S529" s="109"/>
    </row>
    <row r="530" spans="19:19">
      <c r="S530" s="109"/>
    </row>
    <row r="531" spans="19:19">
      <c r="S531" s="109"/>
    </row>
    <row r="532" spans="19:19">
      <c r="S532" s="109"/>
    </row>
    <row r="533" spans="19:19">
      <c r="S533" s="109"/>
    </row>
    <row r="534" spans="19:19">
      <c r="S534" s="109"/>
    </row>
    <row r="535" spans="19:19">
      <c r="S535" s="109"/>
    </row>
    <row r="536" spans="19:19">
      <c r="S536" s="109"/>
    </row>
    <row r="537" spans="19:19">
      <c r="S537" s="109"/>
    </row>
    <row r="538" spans="19:19">
      <c r="S538" s="109"/>
    </row>
    <row r="539" spans="19:19">
      <c r="S539" s="109"/>
    </row>
    <row r="540" spans="19:19">
      <c r="S540" s="109"/>
    </row>
    <row r="541" spans="19:19">
      <c r="S541" s="109"/>
    </row>
    <row r="542" spans="19:19">
      <c r="S542" s="109"/>
    </row>
    <row r="543" spans="19:19">
      <c r="S543" s="109"/>
    </row>
    <row r="544" spans="19:19">
      <c r="S544" s="109"/>
    </row>
    <row r="545" spans="19:19">
      <c r="S545" s="109"/>
    </row>
    <row r="546" spans="19:19">
      <c r="S546" s="109"/>
    </row>
    <row r="547" spans="19:19">
      <c r="S547" s="109"/>
    </row>
    <row r="548" spans="19:19">
      <c r="S548" s="109"/>
    </row>
    <row r="549" spans="19:19">
      <c r="S549" s="109"/>
    </row>
    <row r="550" spans="19:19">
      <c r="S550" s="109"/>
    </row>
    <row r="551" spans="19:19">
      <c r="S551" s="109"/>
    </row>
    <row r="552" spans="19:19">
      <c r="S552" s="109"/>
    </row>
    <row r="553" spans="19:19">
      <c r="S553" s="109"/>
    </row>
    <row r="554" spans="19:19">
      <c r="S554" s="109"/>
    </row>
    <row r="555" spans="19:19">
      <c r="S555" s="109"/>
    </row>
    <row r="556" spans="19:19">
      <c r="S556" s="109"/>
    </row>
    <row r="557" spans="19:19">
      <c r="S557" s="109"/>
    </row>
    <row r="558" spans="19:19">
      <c r="S558" s="109"/>
    </row>
    <row r="559" spans="19:19">
      <c r="S559" s="109"/>
    </row>
    <row r="560" spans="19:19">
      <c r="S560" s="109"/>
    </row>
    <row r="561" spans="19:19">
      <c r="S561" s="109"/>
    </row>
    <row r="562" spans="19:19">
      <c r="S562" s="109"/>
    </row>
    <row r="563" spans="19:19">
      <c r="S563" s="109"/>
    </row>
    <row r="564" spans="19:19">
      <c r="S564" s="109"/>
    </row>
    <row r="565" spans="19:19">
      <c r="S565" s="109"/>
    </row>
    <row r="566" spans="19:19">
      <c r="S566" s="109"/>
    </row>
    <row r="567" spans="19:19">
      <c r="S567" s="109"/>
    </row>
    <row r="568" spans="19:19">
      <c r="S568" s="109"/>
    </row>
    <row r="569" spans="19:19">
      <c r="S569" s="109"/>
    </row>
    <row r="570" spans="19:19">
      <c r="S570" s="109"/>
    </row>
    <row r="571" spans="19:19">
      <c r="S571" s="109"/>
    </row>
    <row r="572" spans="19:19">
      <c r="S572" s="109"/>
    </row>
    <row r="573" spans="19:19">
      <c r="S573" s="109"/>
    </row>
    <row r="574" spans="19:19">
      <c r="S574" s="109"/>
    </row>
    <row r="575" spans="19:19">
      <c r="S575" s="109"/>
    </row>
    <row r="576" spans="19:19">
      <c r="S576" s="109"/>
    </row>
    <row r="577" spans="19:19">
      <c r="S577" s="109"/>
    </row>
    <row r="578" spans="19:19">
      <c r="S578" s="109"/>
    </row>
    <row r="579" spans="19:19">
      <c r="S579" s="109"/>
    </row>
    <row r="580" spans="19:19">
      <c r="S580" s="109"/>
    </row>
    <row r="581" spans="19:19">
      <c r="S581" s="109"/>
    </row>
    <row r="582" spans="19:19">
      <c r="S582" s="109"/>
    </row>
    <row r="583" spans="19:19">
      <c r="S583" s="109"/>
    </row>
    <row r="584" spans="19:19">
      <c r="S584" s="109"/>
    </row>
    <row r="585" spans="19:19">
      <c r="S585" s="109"/>
    </row>
    <row r="586" spans="19:19">
      <c r="S586" s="109"/>
    </row>
    <row r="587" spans="19:19">
      <c r="S587" s="109"/>
    </row>
    <row r="588" spans="19:19">
      <c r="S588" s="109"/>
    </row>
    <row r="589" spans="19:19">
      <c r="S589" s="109"/>
    </row>
    <row r="590" spans="19:19">
      <c r="S590" s="109"/>
    </row>
    <row r="591" spans="19:19">
      <c r="S591" s="109"/>
    </row>
    <row r="592" spans="19:19">
      <c r="S592" s="109"/>
    </row>
    <row r="593" spans="19:19">
      <c r="S593" s="109"/>
    </row>
    <row r="594" spans="19:19">
      <c r="S594" s="109"/>
    </row>
    <row r="595" spans="19:19">
      <c r="S595" s="109"/>
    </row>
    <row r="596" spans="19:19">
      <c r="S596" s="109"/>
    </row>
    <row r="597" spans="19:19">
      <c r="S597" s="109"/>
    </row>
    <row r="598" spans="19:19">
      <c r="S598" s="109"/>
    </row>
    <row r="599" spans="19:19">
      <c r="S599" s="109"/>
    </row>
    <row r="600" spans="19:19">
      <c r="S600" s="109"/>
    </row>
    <row r="601" spans="19:19">
      <c r="S601" s="109"/>
    </row>
    <row r="602" spans="19:19">
      <c r="S602" s="109"/>
    </row>
    <row r="603" spans="19:19">
      <c r="S603" s="109"/>
    </row>
    <row r="604" spans="19:19">
      <c r="S604" s="109"/>
    </row>
    <row r="605" spans="19:19">
      <c r="S605" s="109"/>
    </row>
    <row r="606" spans="19:19">
      <c r="S606" s="109"/>
    </row>
    <row r="607" spans="19:19">
      <c r="S607" s="109"/>
    </row>
    <row r="608" spans="19:19">
      <c r="S608" s="109"/>
    </row>
    <row r="609" spans="19:19">
      <c r="S609" s="109"/>
    </row>
    <row r="610" spans="19:19">
      <c r="S610" s="109"/>
    </row>
    <row r="611" spans="19:19">
      <c r="S611" s="109"/>
    </row>
    <row r="612" spans="19:19">
      <c r="S612" s="109"/>
    </row>
    <row r="613" spans="19:19">
      <c r="S613" s="109"/>
    </row>
    <row r="614" spans="19:19">
      <c r="S614" s="109"/>
    </row>
    <row r="615" spans="19:19">
      <c r="S615" s="109"/>
    </row>
    <row r="616" spans="19:19">
      <c r="S616" s="109"/>
    </row>
    <row r="617" spans="19:19">
      <c r="S617" s="109"/>
    </row>
    <row r="618" spans="19:19">
      <c r="S618" s="109"/>
    </row>
    <row r="619" spans="19:19">
      <c r="S619" s="109"/>
    </row>
    <row r="620" spans="19:19">
      <c r="S620" s="109"/>
    </row>
    <row r="621" spans="19:19">
      <c r="S621" s="109"/>
    </row>
    <row r="622" spans="19:19">
      <c r="S622" s="109"/>
    </row>
    <row r="623" spans="19:19">
      <c r="S623" s="109"/>
    </row>
    <row r="624" spans="19:19">
      <c r="S624" s="109"/>
    </row>
    <row r="625" spans="19:19">
      <c r="S625" s="109"/>
    </row>
    <row r="626" spans="19:19">
      <c r="S626" s="109"/>
    </row>
    <row r="627" spans="19:19">
      <c r="S627" s="109"/>
    </row>
    <row r="628" spans="19:19">
      <c r="S628" s="109"/>
    </row>
    <row r="629" spans="19:19">
      <c r="S629" s="109"/>
    </row>
    <row r="630" spans="19:19">
      <c r="S630" s="109"/>
    </row>
    <row r="631" spans="19:19">
      <c r="S631" s="109"/>
    </row>
    <row r="632" spans="19:19">
      <c r="S632" s="109"/>
    </row>
    <row r="633" spans="19:19">
      <c r="S633" s="109"/>
    </row>
    <row r="634" spans="19:19">
      <c r="S634" s="109"/>
    </row>
    <row r="635" spans="19:19">
      <c r="S635" s="109"/>
    </row>
    <row r="636" spans="19:19">
      <c r="S636" s="109"/>
    </row>
    <row r="637" spans="19:19">
      <c r="S637" s="109"/>
    </row>
    <row r="638" spans="19:19">
      <c r="S638" s="109"/>
    </row>
    <row r="639" spans="19:19">
      <c r="S639" s="109"/>
    </row>
    <row r="640" spans="19:19">
      <c r="S640" s="109"/>
    </row>
    <row r="641" spans="19:19">
      <c r="S641" s="109"/>
    </row>
    <row r="642" spans="19:19">
      <c r="S642" s="109"/>
    </row>
    <row r="643" spans="19:19">
      <c r="S643" s="109"/>
    </row>
    <row r="644" spans="19:19">
      <c r="S644" s="109"/>
    </row>
    <row r="645" spans="19:19">
      <c r="S645" s="109"/>
    </row>
    <row r="646" spans="19:19">
      <c r="S646" s="109"/>
    </row>
    <row r="647" spans="19:19">
      <c r="S647" s="109"/>
    </row>
    <row r="648" spans="19:19">
      <c r="S648" s="109"/>
    </row>
    <row r="649" spans="19:19">
      <c r="S649" s="109"/>
    </row>
    <row r="650" spans="19:19">
      <c r="S650" s="109"/>
    </row>
    <row r="651" spans="19:19">
      <c r="S651" s="109"/>
    </row>
    <row r="652" spans="19:19">
      <c r="S652" s="109"/>
    </row>
    <row r="653" spans="19:19">
      <c r="S653" s="109"/>
    </row>
    <row r="654" spans="19:19">
      <c r="S654" s="109"/>
    </row>
    <row r="655" spans="19:19">
      <c r="S655" s="109"/>
    </row>
    <row r="656" spans="19:19">
      <c r="S656" s="109"/>
    </row>
    <row r="657" spans="19:19">
      <c r="S657" s="109"/>
    </row>
    <row r="658" spans="19:19">
      <c r="S658" s="109"/>
    </row>
    <row r="659" spans="19:19">
      <c r="S659" s="109"/>
    </row>
    <row r="660" spans="19:19">
      <c r="S660" s="109"/>
    </row>
    <row r="661" spans="19:19">
      <c r="S661" s="109"/>
    </row>
    <row r="662" spans="19:19">
      <c r="S662" s="109"/>
    </row>
    <row r="663" spans="19:19">
      <c r="S663" s="109"/>
    </row>
    <row r="664" spans="19:19">
      <c r="S664" s="109"/>
    </row>
    <row r="665" spans="19:19">
      <c r="S665" s="109"/>
    </row>
    <row r="666" spans="19:19">
      <c r="S666" s="109"/>
    </row>
    <row r="667" spans="19:19">
      <c r="S667" s="109"/>
    </row>
    <row r="668" spans="19:19">
      <c r="S668" s="109"/>
    </row>
    <row r="669" spans="19:19">
      <c r="S669" s="109"/>
    </row>
    <row r="670" spans="19:19">
      <c r="S670" s="109"/>
    </row>
    <row r="671" spans="19:19">
      <c r="S671" s="109"/>
    </row>
    <row r="672" spans="19:19">
      <c r="S672" s="109"/>
    </row>
    <row r="673" spans="19:19">
      <c r="S673" s="109"/>
    </row>
    <row r="674" spans="19:19">
      <c r="S674" s="109"/>
    </row>
    <row r="675" spans="19:19">
      <c r="S675" s="109"/>
    </row>
    <row r="676" spans="19:19">
      <c r="S676" s="109"/>
    </row>
    <row r="677" spans="19:19">
      <c r="S677" s="109"/>
    </row>
    <row r="678" spans="19:19">
      <c r="S678" s="109"/>
    </row>
    <row r="679" spans="19:19">
      <c r="S679" s="109"/>
    </row>
    <row r="680" spans="19:19">
      <c r="S680" s="109"/>
    </row>
    <row r="681" spans="19:19">
      <c r="S681" s="109"/>
    </row>
    <row r="682" spans="19:19">
      <c r="S682" s="109"/>
    </row>
    <row r="683" spans="19:19">
      <c r="S683" s="109"/>
    </row>
    <row r="684" spans="19:19">
      <c r="S684" s="109"/>
    </row>
    <row r="685" spans="19:19">
      <c r="S685" s="109"/>
    </row>
    <row r="686" spans="19:19">
      <c r="S686" s="109"/>
    </row>
    <row r="687" spans="19:19">
      <c r="S687" s="109"/>
    </row>
    <row r="688" spans="19:19">
      <c r="S688" s="109"/>
    </row>
    <row r="689" spans="19:19">
      <c r="S689" s="109"/>
    </row>
    <row r="690" spans="19:19">
      <c r="S690" s="109"/>
    </row>
    <row r="691" spans="19:19">
      <c r="S691" s="109"/>
    </row>
    <row r="692" spans="19:19">
      <c r="S692" s="109"/>
    </row>
    <row r="693" spans="19:19">
      <c r="S693" s="109"/>
    </row>
    <row r="694" spans="19:19">
      <c r="S694" s="109"/>
    </row>
    <row r="695" spans="19:19">
      <c r="S695" s="109"/>
    </row>
    <row r="696" spans="19:19">
      <c r="S696" s="109"/>
    </row>
    <row r="697" spans="19:19">
      <c r="S697" s="109"/>
    </row>
    <row r="698" spans="19:19">
      <c r="S698" s="109"/>
    </row>
    <row r="699" spans="19:19">
      <c r="S699" s="109"/>
    </row>
    <row r="700" spans="19:19">
      <c r="S700" s="109"/>
    </row>
    <row r="701" spans="19:19">
      <c r="S701" s="109"/>
    </row>
    <row r="702" spans="19:19">
      <c r="S702" s="109"/>
    </row>
    <row r="703" spans="19:19">
      <c r="S703" s="109"/>
    </row>
    <row r="704" spans="19:19">
      <c r="S704" s="109"/>
    </row>
    <row r="705" spans="19:19">
      <c r="S705" s="109"/>
    </row>
    <row r="706" spans="19:19">
      <c r="S706" s="109"/>
    </row>
    <row r="707" spans="19:19">
      <c r="S707" s="109"/>
    </row>
    <row r="708" spans="19:19">
      <c r="S708" s="109"/>
    </row>
    <row r="709" spans="19:19">
      <c r="S709" s="109"/>
    </row>
    <row r="710" spans="19:19">
      <c r="S710" s="109"/>
    </row>
    <row r="711" spans="19:19">
      <c r="S711" s="109"/>
    </row>
    <row r="712" spans="19:19">
      <c r="S712" s="109"/>
    </row>
    <row r="713" spans="19:19">
      <c r="S713" s="109"/>
    </row>
    <row r="714" spans="19:19">
      <c r="S714" s="109"/>
    </row>
    <row r="715" spans="19:19">
      <c r="S715" s="109"/>
    </row>
    <row r="716" spans="19:19">
      <c r="S716" s="109"/>
    </row>
    <row r="717" spans="19:19">
      <c r="S717" s="109"/>
    </row>
    <row r="718" spans="19:19">
      <c r="S718" s="109"/>
    </row>
    <row r="719" spans="19:19">
      <c r="S719" s="109"/>
    </row>
    <row r="720" spans="19:19">
      <c r="S720" s="109"/>
    </row>
    <row r="721" spans="19:19">
      <c r="S721" s="109"/>
    </row>
    <row r="722" spans="19:19">
      <c r="S722" s="109"/>
    </row>
    <row r="723" spans="19:19">
      <c r="S723" s="109"/>
    </row>
    <row r="724" spans="19:19">
      <c r="S724" s="109"/>
    </row>
    <row r="725" spans="19:19">
      <c r="S725" s="109"/>
    </row>
    <row r="726" spans="19:19">
      <c r="S726" s="109"/>
    </row>
    <row r="727" spans="19:19">
      <c r="S727" s="109"/>
    </row>
    <row r="728" spans="19:19">
      <c r="S728" s="109"/>
    </row>
    <row r="729" spans="19:19">
      <c r="S729" s="109"/>
    </row>
    <row r="730" spans="19:19">
      <c r="S730" s="109"/>
    </row>
    <row r="731" spans="19:19">
      <c r="S731" s="109"/>
    </row>
    <row r="732" spans="19:19">
      <c r="S732" s="109"/>
    </row>
    <row r="733" spans="19:19">
      <c r="S733" s="109"/>
    </row>
    <row r="734" spans="19:19">
      <c r="S734" s="109"/>
    </row>
    <row r="735" spans="19:19">
      <c r="S735" s="109"/>
    </row>
    <row r="736" spans="19:19">
      <c r="S736" s="109"/>
    </row>
    <row r="737" spans="19:19">
      <c r="S737" s="109"/>
    </row>
    <row r="738" spans="19:19">
      <c r="S738" s="109"/>
    </row>
    <row r="739" spans="19:19">
      <c r="S739" s="109"/>
    </row>
    <row r="740" spans="19:19">
      <c r="S740" s="109"/>
    </row>
    <row r="741" spans="19:19">
      <c r="S741" s="109"/>
    </row>
    <row r="742" spans="19:19">
      <c r="S742" s="109"/>
    </row>
    <row r="743" spans="19:19">
      <c r="S743" s="109"/>
    </row>
    <row r="744" spans="19:19">
      <c r="S744" s="109"/>
    </row>
    <row r="745" spans="19:19">
      <c r="S745" s="109"/>
    </row>
    <row r="746" spans="19:19">
      <c r="S746" s="109"/>
    </row>
    <row r="747" spans="19:19">
      <c r="S747" s="109"/>
    </row>
    <row r="748" spans="19:19">
      <c r="S748" s="109"/>
    </row>
    <row r="749" spans="19:19">
      <c r="S749" s="109"/>
    </row>
    <row r="750" spans="19:19">
      <c r="S750" s="109"/>
    </row>
    <row r="751" spans="19:19">
      <c r="S751" s="109"/>
    </row>
    <row r="752" spans="19:19">
      <c r="S752" s="109"/>
    </row>
    <row r="753" spans="19:19">
      <c r="S753" s="109"/>
    </row>
    <row r="754" spans="19:19">
      <c r="S754" s="109"/>
    </row>
    <row r="755" spans="19:19">
      <c r="S755" s="109"/>
    </row>
    <row r="756" spans="19:19">
      <c r="S756" s="109"/>
    </row>
    <row r="757" spans="19:19">
      <c r="S757" s="109"/>
    </row>
    <row r="758" spans="19:19">
      <c r="S758" s="109"/>
    </row>
    <row r="759" spans="19:19">
      <c r="S759" s="109"/>
    </row>
    <row r="760" spans="19:19">
      <c r="S760" s="109"/>
    </row>
    <row r="761" spans="19:19">
      <c r="S761" s="109"/>
    </row>
    <row r="762" spans="19:19">
      <c r="S762" s="109"/>
    </row>
    <row r="763" spans="19:19">
      <c r="S763" s="109"/>
    </row>
    <row r="764" spans="19:19">
      <c r="S764" s="109"/>
    </row>
    <row r="765" spans="19:19">
      <c r="S765" s="109"/>
    </row>
    <row r="766" spans="19:19">
      <c r="S766" s="109"/>
    </row>
    <row r="767" spans="19:19">
      <c r="S767" s="109"/>
    </row>
    <row r="768" spans="19:19">
      <c r="S768" s="109"/>
    </row>
    <row r="769" spans="19:19">
      <c r="S769" s="109"/>
    </row>
    <row r="770" spans="19:19">
      <c r="S770" s="109"/>
    </row>
    <row r="771" spans="19:19">
      <c r="S771" s="109"/>
    </row>
    <row r="772" spans="19:19">
      <c r="S772" s="109"/>
    </row>
    <row r="773" spans="19:19">
      <c r="S773" s="109"/>
    </row>
    <row r="774" spans="19:19">
      <c r="S774" s="109"/>
    </row>
    <row r="775" spans="19:19">
      <c r="S775" s="109"/>
    </row>
    <row r="776" spans="19:19">
      <c r="S776" s="109"/>
    </row>
    <row r="777" spans="19:19">
      <c r="S777" s="109"/>
    </row>
    <row r="778" spans="19:19">
      <c r="S778" s="109"/>
    </row>
    <row r="779" spans="19:19">
      <c r="S779" s="109"/>
    </row>
    <row r="780" spans="19:19">
      <c r="S780" s="109"/>
    </row>
    <row r="781" spans="19:19">
      <c r="S781" s="109"/>
    </row>
    <row r="782" spans="19:19">
      <c r="S782" s="109"/>
    </row>
    <row r="783" spans="19:19">
      <c r="S783" s="109"/>
    </row>
    <row r="784" spans="19:19">
      <c r="S784" s="109"/>
    </row>
    <row r="785" spans="19:19">
      <c r="S785" s="109"/>
    </row>
    <row r="786" spans="19:19">
      <c r="S786" s="109"/>
    </row>
    <row r="787" spans="19:19">
      <c r="S787" s="109"/>
    </row>
    <row r="788" spans="19:19">
      <c r="S788" s="109"/>
    </row>
    <row r="789" spans="19:19">
      <c r="S789" s="109"/>
    </row>
    <row r="790" spans="19:19">
      <c r="S790" s="109"/>
    </row>
    <row r="791" spans="19:19">
      <c r="S791" s="109"/>
    </row>
    <row r="792" spans="19:19">
      <c r="S792" s="109"/>
    </row>
    <row r="793" spans="19:19">
      <c r="S793" s="109"/>
    </row>
    <row r="794" spans="19:19">
      <c r="S794" s="109"/>
    </row>
    <row r="795" spans="19:19">
      <c r="S795" s="109"/>
    </row>
    <row r="796" spans="19:19">
      <c r="S796" s="109"/>
    </row>
    <row r="797" spans="19:19">
      <c r="S797" s="109"/>
    </row>
    <row r="798" spans="19:19">
      <c r="S798" s="109"/>
    </row>
    <row r="799" spans="19:19">
      <c r="S799" s="109"/>
    </row>
    <row r="800" spans="19:19">
      <c r="S800" s="109"/>
    </row>
    <row r="801" spans="19:19">
      <c r="S801" s="109"/>
    </row>
    <row r="802" spans="19:19">
      <c r="S802" s="109"/>
    </row>
    <row r="803" spans="19:19">
      <c r="S803" s="109"/>
    </row>
    <row r="804" spans="19:19">
      <c r="S804" s="109"/>
    </row>
    <row r="805" spans="19:19">
      <c r="S805" s="109"/>
    </row>
    <row r="806" spans="19:19">
      <c r="S806" s="109"/>
    </row>
    <row r="807" spans="19:19">
      <c r="S807" s="109"/>
    </row>
    <row r="808" spans="19:19">
      <c r="S808" s="109"/>
    </row>
    <row r="809" spans="19:19">
      <c r="S809" s="109"/>
    </row>
    <row r="810" spans="19:19">
      <c r="S810" s="109"/>
    </row>
    <row r="811" spans="19:19">
      <c r="S811" s="109"/>
    </row>
    <row r="812" spans="19:19">
      <c r="S812" s="109"/>
    </row>
    <row r="813" spans="19:19">
      <c r="S813" s="109"/>
    </row>
    <row r="814" spans="19:19">
      <c r="S814" s="109"/>
    </row>
    <row r="815" spans="19:19">
      <c r="S815" s="109"/>
    </row>
    <row r="816" spans="19:19">
      <c r="S816" s="109"/>
    </row>
    <row r="817" spans="19:19">
      <c r="S817" s="109"/>
    </row>
    <row r="818" spans="19:19">
      <c r="S818" s="109"/>
    </row>
    <row r="819" spans="19:19">
      <c r="S819" s="109"/>
    </row>
    <row r="820" spans="19:19">
      <c r="S820" s="109"/>
    </row>
    <row r="821" spans="19:19">
      <c r="S821" s="109"/>
    </row>
    <row r="822" spans="19:19">
      <c r="S822" s="109"/>
    </row>
    <row r="823" spans="19:19">
      <c r="S823" s="109"/>
    </row>
    <row r="824" spans="19:19">
      <c r="S824" s="109"/>
    </row>
    <row r="825" spans="19:19">
      <c r="S825" s="109"/>
    </row>
    <row r="826" spans="19:19">
      <c r="S826" s="109"/>
    </row>
    <row r="827" spans="19:19">
      <c r="S827" s="109"/>
    </row>
    <row r="828" spans="19:19">
      <c r="S828" s="109"/>
    </row>
    <row r="829" spans="19:19">
      <c r="S829" s="109"/>
    </row>
    <row r="830" spans="19:19">
      <c r="S830" s="109"/>
    </row>
    <row r="831" spans="19:19">
      <c r="S831" s="109"/>
    </row>
    <row r="832" spans="19:19">
      <c r="S832" s="109"/>
    </row>
    <row r="833" spans="19:19">
      <c r="S833" s="109"/>
    </row>
    <row r="834" spans="19:19">
      <c r="S834" s="109"/>
    </row>
    <row r="835" spans="19:19">
      <c r="S835" s="109"/>
    </row>
    <row r="836" spans="19:19">
      <c r="S836" s="109"/>
    </row>
    <row r="837" spans="19:19">
      <c r="S837" s="109"/>
    </row>
    <row r="838" spans="19:19">
      <c r="S838" s="109"/>
    </row>
    <row r="839" spans="19:19">
      <c r="S839" s="109"/>
    </row>
    <row r="840" spans="19:19">
      <c r="S840" s="109"/>
    </row>
    <row r="841" spans="19:19">
      <c r="S841" s="109"/>
    </row>
    <row r="842" spans="19:19">
      <c r="S842" s="109"/>
    </row>
    <row r="843" spans="19:19">
      <c r="S843" s="109"/>
    </row>
    <row r="844" spans="19:19">
      <c r="S844" s="109"/>
    </row>
    <row r="845" spans="19:19">
      <c r="S845" s="109"/>
    </row>
    <row r="846" spans="19:19">
      <c r="S846" s="109"/>
    </row>
    <row r="847" spans="19:19">
      <c r="S847" s="109"/>
    </row>
    <row r="848" spans="19:19">
      <c r="S848" s="109"/>
    </row>
    <row r="849" spans="19:19">
      <c r="S849" s="109"/>
    </row>
    <row r="850" spans="19:19">
      <c r="S850" s="109"/>
    </row>
    <row r="851" spans="19:19">
      <c r="S851" s="109"/>
    </row>
    <row r="852" spans="19:19">
      <c r="S852" s="109"/>
    </row>
    <row r="853" spans="19:19">
      <c r="S853" s="109"/>
    </row>
    <row r="854" spans="19:19">
      <c r="S854" s="109"/>
    </row>
    <row r="855" spans="19:19">
      <c r="S855" s="109"/>
    </row>
    <row r="856" spans="19:19">
      <c r="S856" s="109"/>
    </row>
    <row r="857" spans="19:19">
      <c r="S857" s="109"/>
    </row>
    <row r="858" spans="19:19">
      <c r="S858" s="109"/>
    </row>
    <row r="859" spans="19:19">
      <c r="S859" s="109"/>
    </row>
    <row r="860" spans="19:19">
      <c r="S860" s="109"/>
    </row>
    <row r="861" spans="19:19">
      <c r="S861" s="109"/>
    </row>
    <row r="862" spans="19:19">
      <c r="S862" s="109"/>
    </row>
    <row r="863" spans="19:19">
      <c r="S863" s="109"/>
    </row>
    <row r="864" spans="19:19">
      <c r="S864" s="109"/>
    </row>
    <row r="865" spans="19:19">
      <c r="S865" s="109"/>
    </row>
    <row r="866" spans="19:19">
      <c r="S866" s="109"/>
    </row>
    <row r="867" spans="19:19">
      <c r="S867" s="109"/>
    </row>
    <row r="868" spans="19:19">
      <c r="S868" s="109"/>
    </row>
    <row r="869" spans="19:19">
      <c r="S869" s="109"/>
    </row>
    <row r="870" spans="19:19">
      <c r="S870" s="109"/>
    </row>
    <row r="871" spans="19:19">
      <c r="S871" s="109"/>
    </row>
    <row r="872" spans="19:19">
      <c r="S872" s="109"/>
    </row>
    <row r="873" spans="19:19">
      <c r="S873" s="109"/>
    </row>
    <row r="874" spans="19:19">
      <c r="S874" s="109"/>
    </row>
    <row r="875" spans="19:19">
      <c r="S875" s="109"/>
    </row>
    <row r="876" spans="19:19">
      <c r="S876" s="109"/>
    </row>
    <row r="877" spans="19:19">
      <c r="S877" s="109"/>
    </row>
    <row r="878" spans="19:19">
      <c r="S878" s="109"/>
    </row>
    <row r="879" spans="19:19">
      <c r="S879" s="109"/>
    </row>
    <row r="880" spans="19:19">
      <c r="S880" s="109"/>
    </row>
    <row r="881" spans="19:19">
      <c r="S881" s="109"/>
    </row>
    <row r="882" spans="19:19">
      <c r="S882" s="109"/>
    </row>
    <row r="883" spans="19:19">
      <c r="S883" s="109"/>
    </row>
    <row r="884" spans="19:19">
      <c r="S884" s="109"/>
    </row>
    <row r="885" spans="19:19">
      <c r="S885" s="109"/>
    </row>
    <row r="886" spans="19:19">
      <c r="S886" s="109"/>
    </row>
    <row r="887" spans="19:19">
      <c r="S887" s="109"/>
    </row>
    <row r="888" spans="19:19">
      <c r="S888" s="109"/>
    </row>
    <row r="889" spans="19:19">
      <c r="S889" s="109"/>
    </row>
    <row r="890" spans="19:19">
      <c r="S890" s="109"/>
    </row>
    <row r="891" spans="19:19">
      <c r="S891" s="109"/>
    </row>
    <row r="892" spans="19:19">
      <c r="S892" s="109"/>
    </row>
    <row r="893" spans="19:19">
      <c r="S893" s="109"/>
    </row>
    <row r="894" spans="19:19">
      <c r="S894" s="109"/>
    </row>
    <row r="895" spans="19:19">
      <c r="S895" s="109"/>
    </row>
    <row r="896" spans="19:19">
      <c r="S896" s="109"/>
    </row>
    <row r="897" spans="19:19">
      <c r="S897" s="109"/>
    </row>
    <row r="898" spans="19:19">
      <c r="S898" s="109"/>
    </row>
    <row r="899" spans="19:19">
      <c r="S899" s="109"/>
    </row>
    <row r="900" spans="19:19">
      <c r="S900" s="109"/>
    </row>
    <row r="901" spans="19:19">
      <c r="S901" s="109"/>
    </row>
    <row r="902" spans="19:19">
      <c r="S902" s="109"/>
    </row>
    <row r="903" spans="19:19">
      <c r="S903" s="109"/>
    </row>
    <row r="904" spans="19:19">
      <c r="S904" s="109"/>
    </row>
    <row r="905" spans="19:19">
      <c r="S905" s="109"/>
    </row>
    <row r="906" spans="19:19">
      <c r="S906" s="109"/>
    </row>
    <row r="907" spans="19:19">
      <c r="S907" s="109"/>
    </row>
    <row r="908" spans="19:19">
      <c r="S908" s="109"/>
    </row>
    <row r="909" spans="19:19">
      <c r="S909" s="109"/>
    </row>
    <row r="910" spans="19:19">
      <c r="S910" s="109"/>
    </row>
    <row r="911" spans="19:19">
      <c r="S911" s="109"/>
    </row>
    <row r="912" spans="19:19">
      <c r="S912" s="109"/>
    </row>
    <row r="913" spans="19:19">
      <c r="S913" s="109"/>
    </row>
    <row r="914" spans="19:19">
      <c r="S914" s="109"/>
    </row>
    <row r="915" spans="19:19">
      <c r="S915" s="109"/>
    </row>
    <row r="916" spans="19:19">
      <c r="S916" s="109"/>
    </row>
    <row r="917" spans="19:19">
      <c r="S917" s="109"/>
    </row>
    <row r="918" spans="19:19">
      <c r="S918" s="109"/>
    </row>
    <row r="919" spans="19:19">
      <c r="S919" s="109"/>
    </row>
    <row r="920" spans="19:19">
      <c r="S920" s="109"/>
    </row>
    <row r="921" spans="19:19">
      <c r="S921" s="109"/>
    </row>
    <row r="922" spans="19:19">
      <c r="S922" s="109"/>
    </row>
    <row r="923" spans="19:19">
      <c r="S923" s="109"/>
    </row>
    <row r="924" spans="19:19">
      <c r="S924" s="109"/>
    </row>
    <row r="925" spans="19:19">
      <c r="S925" s="109"/>
    </row>
    <row r="926" spans="19:19">
      <c r="S926" s="109"/>
    </row>
    <row r="927" spans="19:19">
      <c r="S927" s="109"/>
    </row>
    <row r="928" spans="19:19">
      <c r="S928" s="109"/>
    </row>
    <row r="929" spans="19:19">
      <c r="S929" s="109"/>
    </row>
    <row r="930" spans="19:19">
      <c r="S930" s="109"/>
    </row>
    <row r="931" spans="19:19">
      <c r="S931" s="109"/>
    </row>
    <row r="932" spans="19:19">
      <c r="S932" s="109"/>
    </row>
    <row r="933" spans="19:19">
      <c r="S933" s="109"/>
    </row>
    <row r="934" spans="19:19">
      <c r="S934" s="109"/>
    </row>
    <row r="935" spans="19:19">
      <c r="S935" s="109"/>
    </row>
    <row r="936" spans="19:19">
      <c r="S936" s="109"/>
    </row>
    <row r="937" spans="19:19">
      <c r="S937" s="109"/>
    </row>
    <row r="938" spans="19:19">
      <c r="S938" s="109"/>
    </row>
    <row r="939" spans="19:19">
      <c r="S939" s="109"/>
    </row>
    <row r="940" spans="19:19">
      <c r="S940" s="109"/>
    </row>
    <row r="941" spans="19:19">
      <c r="S941" s="109"/>
    </row>
    <row r="942" spans="19:19">
      <c r="S942" s="109"/>
    </row>
    <row r="943" spans="19:19">
      <c r="S943" s="109"/>
    </row>
    <row r="944" spans="19:19">
      <c r="S944" s="109"/>
    </row>
    <row r="945" spans="19:19">
      <c r="S945" s="109"/>
    </row>
    <row r="946" spans="19:19">
      <c r="S946" s="109"/>
    </row>
    <row r="947" spans="19:19">
      <c r="S947" s="109"/>
    </row>
    <row r="948" spans="19:19">
      <c r="S948" s="109"/>
    </row>
    <row r="949" spans="19:19">
      <c r="S949" s="109"/>
    </row>
    <row r="950" spans="19:19">
      <c r="S950" s="109"/>
    </row>
    <row r="951" spans="19:19">
      <c r="S951" s="109"/>
    </row>
    <row r="952" spans="19:19">
      <c r="S952" s="109"/>
    </row>
    <row r="953" spans="19:19">
      <c r="S953" s="109"/>
    </row>
    <row r="954" spans="19:19">
      <c r="S954" s="109"/>
    </row>
    <row r="955" spans="19:19">
      <c r="S955" s="109"/>
    </row>
    <row r="956" spans="19:19">
      <c r="S956" s="109"/>
    </row>
    <row r="957" spans="19:19">
      <c r="S957" s="109"/>
    </row>
    <row r="958" spans="19:19">
      <c r="S958" s="109"/>
    </row>
    <row r="959" spans="19:19">
      <c r="S959" s="109"/>
    </row>
    <row r="960" spans="19:19">
      <c r="S960" s="109"/>
    </row>
    <row r="961" spans="19:19">
      <c r="S961" s="109"/>
    </row>
    <row r="962" spans="19:19">
      <c r="S962" s="109"/>
    </row>
    <row r="963" spans="19:19">
      <c r="S963" s="109"/>
    </row>
    <row r="964" spans="19:19">
      <c r="S964" s="109"/>
    </row>
    <row r="965" spans="19:19">
      <c r="S965" s="109"/>
    </row>
    <row r="966" spans="19:19">
      <c r="S966" s="109"/>
    </row>
    <row r="967" spans="19:19">
      <c r="S967" s="109"/>
    </row>
    <row r="968" spans="19:19">
      <c r="S968" s="109"/>
    </row>
    <row r="969" spans="19:19">
      <c r="S969" s="109"/>
    </row>
    <row r="970" spans="19:19">
      <c r="S970" s="109"/>
    </row>
    <row r="971" spans="19:19">
      <c r="S971" s="109"/>
    </row>
    <row r="972" spans="19:19">
      <c r="S972" s="109"/>
    </row>
    <row r="973" spans="19:19">
      <c r="S973" s="109"/>
    </row>
    <row r="974" spans="19:19">
      <c r="S974" s="109"/>
    </row>
    <row r="975" spans="19:19">
      <c r="S975" s="109"/>
    </row>
    <row r="976" spans="19:19">
      <c r="S976" s="109"/>
    </row>
    <row r="977" spans="19:19">
      <c r="S977" s="109"/>
    </row>
    <row r="978" spans="19:19">
      <c r="S978" s="109"/>
    </row>
    <row r="979" spans="19:19">
      <c r="S979" s="109"/>
    </row>
    <row r="980" spans="19:19">
      <c r="S980" s="109"/>
    </row>
    <row r="981" spans="19:19">
      <c r="S981" s="109"/>
    </row>
    <row r="982" spans="19:19">
      <c r="S982" s="109"/>
    </row>
    <row r="983" spans="19:19">
      <c r="S983" s="109"/>
    </row>
    <row r="984" spans="19:19">
      <c r="S984" s="109"/>
    </row>
    <row r="985" spans="19:19">
      <c r="S985" s="109"/>
    </row>
    <row r="986" spans="19:19">
      <c r="S986" s="109"/>
    </row>
    <row r="987" spans="19:19">
      <c r="S987" s="109"/>
    </row>
    <row r="988" spans="19:19">
      <c r="S988" s="109"/>
    </row>
    <row r="989" spans="19:19">
      <c r="S989" s="109"/>
    </row>
    <row r="990" spans="19:19">
      <c r="S990" s="109"/>
    </row>
    <row r="991" spans="19:19">
      <c r="S991" s="109"/>
    </row>
    <row r="992" spans="19:19">
      <c r="S992" s="109"/>
    </row>
    <row r="993" spans="19:19">
      <c r="S993" s="109"/>
    </row>
    <row r="994" spans="19:19">
      <c r="S994" s="109"/>
    </row>
    <row r="995" spans="19:19">
      <c r="S995" s="109"/>
    </row>
    <row r="996" spans="19:19">
      <c r="S996" s="109"/>
    </row>
    <row r="997" spans="19:19">
      <c r="S997" s="109"/>
    </row>
    <row r="998" spans="19:19">
      <c r="S998" s="109"/>
    </row>
    <row r="999" spans="19:19">
      <c r="S999" s="109"/>
    </row>
    <row r="1000" spans="19:19">
      <c r="S1000" s="109"/>
    </row>
    <row r="1001" spans="19:19">
      <c r="S1001" s="109"/>
    </row>
    <row r="1002" spans="19:19">
      <c r="S1002" s="109"/>
    </row>
    <row r="1003" spans="19:19">
      <c r="S1003" s="109"/>
    </row>
    <row r="1004" spans="19:19">
      <c r="S1004" s="109"/>
    </row>
    <row r="1005" spans="19:19">
      <c r="S1005" s="109"/>
    </row>
    <row r="1006" spans="19:19">
      <c r="S1006" s="109"/>
    </row>
    <row r="1007" spans="19:19">
      <c r="S1007" s="109"/>
    </row>
    <row r="1008" spans="19:19">
      <c r="S1008" s="109"/>
    </row>
    <row r="1009" spans="19:19">
      <c r="S1009" s="109"/>
    </row>
    <row r="1010" spans="19:19">
      <c r="S1010" s="109"/>
    </row>
    <row r="1011" spans="19:19">
      <c r="S1011" s="109"/>
    </row>
    <row r="1012" spans="19:19">
      <c r="S1012" s="109"/>
    </row>
    <row r="1013" spans="19:19">
      <c r="S1013" s="109"/>
    </row>
    <row r="1014" spans="19:19">
      <c r="S1014" s="109"/>
    </row>
    <row r="1015" spans="19:19">
      <c r="S1015" s="109"/>
    </row>
    <row r="1016" spans="19:19">
      <c r="S1016" s="109"/>
    </row>
    <row r="1017" spans="19:19">
      <c r="S1017" s="109"/>
    </row>
    <row r="1018" spans="19:19">
      <c r="S1018" s="109"/>
    </row>
    <row r="1019" spans="19:19">
      <c r="S1019" s="109"/>
    </row>
    <row r="1020" spans="19:19">
      <c r="S1020" s="109"/>
    </row>
    <row r="1021" spans="19:19">
      <c r="S1021" s="109"/>
    </row>
    <row r="1022" spans="19:19">
      <c r="S1022" s="109"/>
    </row>
    <row r="1023" spans="19:19">
      <c r="S1023" s="109"/>
    </row>
    <row r="1024" spans="19:19">
      <c r="S1024" s="109"/>
    </row>
    <row r="1025" spans="19:19">
      <c r="S1025" s="109"/>
    </row>
    <row r="1026" spans="19:19">
      <c r="S1026" s="109"/>
    </row>
    <row r="1027" spans="19:19">
      <c r="S1027" s="109"/>
    </row>
    <row r="1028" spans="19:19">
      <c r="S1028" s="109"/>
    </row>
    <row r="1029" spans="19:19">
      <c r="S1029" s="109"/>
    </row>
    <row r="1030" spans="19:19">
      <c r="S1030" s="109"/>
    </row>
    <row r="1031" spans="19:19">
      <c r="S1031" s="109"/>
    </row>
    <row r="1032" spans="19:19">
      <c r="S1032" s="109"/>
    </row>
    <row r="1033" spans="19:19">
      <c r="S1033" s="109"/>
    </row>
    <row r="1034" spans="19:19">
      <c r="S1034" s="109"/>
    </row>
    <row r="1035" spans="19:19">
      <c r="S1035" s="109"/>
    </row>
    <row r="1036" spans="19:19">
      <c r="S1036" s="109"/>
    </row>
    <row r="1037" spans="19:19">
      <c r="S1037" s="109"/>
    </row>
    <row r="1038" spans="19:19">
      <c r="S1038" s="109"/>
    </row>
    <row r="1039" spans="19:19">
      <c r="S1039" s="109"/>
    </row>
    <row r="1040" spans="19:19">
      <c r="S1040" s="109"/>
    </row>
    <row r="1041" spans="19:19">
      <c r="S1041" s="109"/>
    </row>
    <row r="1042" spans="19:19">
      <c r="S1042" s="109"/>
    </row>
    <row r="1043" spans="19:19">
      <c r="S1043" s="109"/>
    </row>
    <row r="1044" spans="19:19">
      <c r="S1044" s="109"/>
    </row>
    <row r="1045" spans="19:19">
      <c r="S1045" s="109"/>
    </row>
    <row r="1046" spans="19:19">
      <c r="S1046" s="109"/>
    </row>
    <row r="1047" spans="19:19">
      <c r="S1047" s="109"/>
    </row>
    <row r="1048" spans="19:19">
      <c r="S1048" s="109"/>
    </row>
    <row r="1049" spans="19:19">
      <c r="S1049" s="109"/>
    </row>
    <row r="1050" spans="19:19">
      <c r="S1050" s="109"/>
    </row>
    <row r="1051" spans="19:19">
      <c r="S1051" s="109"/>
    </row>
    <row r="1052" spans="19:19">
      <c r="S1052" s="109"/>
    </row>
    <row r="1053" spans="19:19">
      <c r="S1053" s="109"/>
    </row>
    <row r="1054" spans="19:19">
      <c r="S1054" s="109"/>
    </row>
    <row r="1055" spans="19:19">
      <c r="S1055" s="109"/>
    </row>
    <row r="1056" spans="19:19">
      <c r="S1056" s="109"/>
    </row>
    <row r="1057" spans="19:19">
      <c r="S1057" s="109"/>
    </row>
    <row r="1058" spans="19:19">
      <c r="S1058" s="109"/>
    </row>
    <row r="1059" spans="19:19">
      <c r="S1059" s="109"/>
    </row>
    <row r="1060" spans="19:19">
      <c r="S1060" s="109"/>
    </row>
    <row r="1061" spans="19:19">
      <c r="S1061" s="109"/>
    </row>
    <row r="1062" spans="19:19">
      <c r="S1062" s="109"/>
    </row>
    <row r="1063" spans="19:19">
      <c r="S1063" s="109"/>
    </row>
    <row r="1064" spans="19:19">
      <c r="S1064" s="109"/>
    </row>
    <row r="1065" spans="19:19">
      <c r="S1065" s="109"/>
    </row>
    <row r="1066" spans="19:19">
      <c r="S1066" s="109"/>
    </row>
    <row r="1067" spans="19:19">
      <c r="S1067" s="109"/>
    </row>
    <row r="1068" spans="19:19">
      <c r="S1068" s="109"/>
    </row>
    <row r="1069" spans="19:19">
      <c r="S1069" s="109"/>
    </row>
    <row r="1070" spans="19:19">
      <c r="S1070" s="109"/>
    </row>
    <row r="1071" spans="19:19">
      <c r="S1071" s="109"/>
    </row>
    <row r="1072" spans="19:19">
      <c r="S1072" s="109"/>
    </row>
    <row r="1073" spans="19:19">
      <c r="S1073" s="109"/>
    </row>
    <row r="1074" spans="19:19">
      <c r="S1074" s="109"/>
    </row>
    <row r="1075" spans="19:19">
      <c r="S1075" s="109"/>
    </row>
    <row r="1076" spans="19:19">
      <c r="S1076" s="109"/>
    </row>
    <row r="1077" spans="19:19">
      <c r="S1077" s="109"/>
    </row>
    <row r="1078" spans="19:19">
      <c r="S1078" s="109"/>
    </row>
    <row r="1079" spans="19:19">
      <c r="S1079" s="109"/>
    </row>
    <row r="1080" spans="19:19">
      <c r="S1080" s="109"/>
    </row>
    <row r="1081" spans="19:19">
      <c r="S1081" s="109"/>
    </row>
    <row r="1082" spans="19:19">
      <c r="S1082" s="109"/>
    </row>
    <row r="1083" spans="19:19">
      <c r="S1083" s="109"/>
    </row>
    <row r="1084" spans="19:19">
      <c r="S1084" s="109"/>
    </row>
    <row r="1085" spans="19:19">
      <c r="S1085" s="109"/>
    </row>
    <row r="1086" spans="19:19">
      <c r="S1086" s="109"/>
    </row>
    <row r="1087" spans="19:19">
      <c r="S1087" s="109"/>
    </row>
    <row r="1088" spans="19:19">
      <c r="S1088" s="109"/>
    </row>
    <row r="1089" spans="19:19">
      <c r="S1089" s="109"/>
    </row>
    <row r="1090" spans="19:19">
      <c r="S1090" s="109"/>
    </row>
    <row r="1091" spans="19:19">
      <c r="S1091" s="109"/>
    </row>
    <row r="1092" spans="19:19">
      <c r="S1092" s="109"/>
    </row>
    <row r="1093" spans="19:19">
      <c r="S1093" s="109"/>
    </row>
    <row r="1094" spans="19:19">
      <c r="S1094" s="109"/>
    </row>
    <row r="1095" spans="19:19">
      <c r="S1095" s="109"/>
    </row>
    <row r="1096" spans="19:19">
      <c r="S1096" s="109"/>
    </row>
    <row r="1097" spans="19:19">
      <c r="S1097" s="109"/>
    </row>
    <row r="1098" spans="19:19">
      <c r="S1098" s="109"/>
    </row>
    <row r="1099" spans="19:19">
      <c r="S1099" s="109"/>
    </row>
    <row r="1100" spans="19:19">
      <c r="S1100" s="109"/>
    </row>
    <row r="1101" spans="19:19">
      <c r="S1101" s="109"/>
    </row>
    <row r="1102" spans="19:19">
      <c r="S1102" s="109"/>
    </row>
    <row r="1103" spans="19:19">
      <c r="S1103" s="109"/>
    </row>
    <row r="1104" spans="19:19">
      <c r="S1104" s="109"/>
    </row>
    <row r="1105" spans="19:19">
      <c r="S1105" s="109"/>
    </row>
    <row r="1106" spans="19:19">
      <c r="S1106" s="109"/>
    </row>
    <row r="1107" spans="19:19">
      <c r="S1107" s="109"/>
    </row>
    <row r="1108" spans="19:19">
      <c r="S1108" s="109"/>
    </row>
    <row r="1109" spans="19:19">
      <c r="S1109" s="109"/>
    </row>
    <row r="1110" spans="19:19">
      <c r="S1110" s="109"/>
    </row>
    <row r="1111" spans="19:19">
      <c r="S1111" s="109"/>
    </row>
    <row r="1112" spans="19:19">
      <c r="S1112" s="109"/>
    </row>
    <row r="1113" spans="19:19">
      <c r="S1113" s="109"/>
    </row>
    <row r="1114" spans="19:19">
      <c r="S1114" s="109"/>
    </row>
    <row r="1115" spans="19:19">
      <c r="S1115" s="109"/>
    </row>
    <row r="1116" spans="19:19">
      <c r="S1116" s="109"/>
    </row>
    <row r="1117" spans="19:19">
      <c r="S1117" s="109"/>
    </row>
    <row r="1118" spans="19:19">
      <c r="S1118" s="109"/>
    </row>
    <row r="1119" spans="19:19">
      <c r="S1119" s="109"/>
    </row>
    <row r="1120" spans="19:19">
      <c r="S1120" s="109"/>
    </row>
    <row r="1121" spans="19:19">
      <c r="S1121" s="109"/>
    </row>
    <row r="1122" spans="19:19">
      <c r="S1122" s="109"/>
    </row>
    <row r="1123" spans="19:19">
      <c r="S1123" s="109"/>
    </row>
    <row r="1124" spans="19:19">
      <c r="S1124" s="109"/>
    </row>
    <row r="1125" spans="19:19">
      <c r="S1125" s="109"/>
    </row>
    <row r="1126" spans="19:19">
      <c r="S1126" s="109"/>
    </row>
    <row r="1127" spans="19:19">
      <c r="S1127" s="109"/>
    </row>
    <row r="1128" spans="19:19">
      <c r="S1128" s="109"/>
    </row>
    <row r="1129" spans="19:19">
      <c r="S1129" s="109"/>
    </row>
    <row r="1130" spans="19:19">
      <c r="S1130" s="109"/>
    </row>
    <row r="1131" spans="19:19">
      <c r="S1131" s="109"/>
    </row>
    <row r="1132" spans="19:19">
      <c r="S1132" s="109"/>
    </row>
    <row r="1133" spans="19:19">
      <c r="S1133" s="109"/>
    </row>
    <row r="1134" spans="19:19">
      <c r="S1134" s="109"/>
    </row>
    <row r="1135" spans="19:19">
      <c r="S1135" s="109"/>
    </row>
    <row r="1136" spans="19:19">
      <c r="S1136" s="109"/>
    </row>
    <row r="1137" spans="19:19">
      <c r="S1137" s="109"/>
    </row>
    <row r="1138" spans="19:19">
      <c r="S1138" s="109"/>
    </row>
    <row r="1139" spans="19:19">
      <c r="S1139" s="109"/>
    </row>
    <row r="1140" spans="19:19">
      <c r="S1140" s="109"/>
    </row>
    <row r="1141" spans="19:19">
      <c r="S1141" s="109"/>
    </row>
    <row r="1142" spans="19:19">
      <c r="S1142" s="109"/>
    </row>
    <row r="1143" spans="19:19">
      <c r="S1143" s="109"/>
    </row>
    <row r="1144" spans="19:19">
      <c r="S1144" s="109"/>
    </row>
    <row r="1145" spans="19:19">
      <c r="S1145" s="109"/>
    </row>
    <row r="1146" spans="19:19">
      <c r="S1146" s="109"/>
    </row>
    <row r="1147" spans="19:19">
      <c r="S1147" s="109"/>
    </row>
    <row r="1148" spans="19:19">
      <c r="S1148" s="109"/>
    </row>
    <row r="1149" spans="19:19">
      <c r="S1149" s="109"/>
    </row>
    <row r="1150" spans="19:19">
      <c r="S1150" s="109"/>
    </row>
    <row r="1151" spans="19:19">
      <c r="S1151" s="109"/>
    </row>
    <row r="1152" spans="19:19">
      <c r="S1152" s="109"/>
    </row>
    <row r="1153" spans="19:19">
      <c r="S1153" s="109"/>
    </row>
    <row r="1154" spans="19:19">
      <c r="S1154" s="109"/>
    </row>
    <row r="1155" spans="19:19">
      <c r="S1155" s="109"/>
    </row>
    <row r="1156" spans="19:19">
      <c r="S1156" s="109"/>
    </row>
    <row r="1157" spans="19:19">
      <c r="S1157" s="109"/>
    </row>
    <row r="1158" spans="19:19">
      <c r="S1158" s="109"/>
    </row>
    <row r="1159" spans="19:19">
      <c r="S1159" s="109"/>
    </row>
    <row r="1160" spans="19:19">
      <c r="S1160" s="109"/>
    </row>
    <row r="1161" spans="19:19">
      <c r="S1161" s="109"/>
    </row>
    <row r="1162" spans="19:19">
      <c r="S1162" s="109"/>
    </row>
    <row r="1163" spans="19:19">
      <c r="S1163" s="109"/>
    </row>
    <row r="1164" spans="19:19">
      <c r="S1164" s="109"/>
    </row>
    <row r="1165" spans="19:19">
      <c r="S1165" s="109"/>
    </row>
    <row r="1166" spans="19:19">
      <c r="S1166" s="109"/>
    </row>
    <row r="1167" spans="19:19">
      <c r="S1167" s="109"/>
    </row>
    <row r="1168" spans="19:19">
      <c r="S1168" s="109"/>
    </row>
    <row r="1169" spans="19:19">
      <c r="S1169" s="109"/>
    </row>
    <row r="1170" spans="19:19">
      <c r="S1170" s="109"/>
    </row>
    <row r="1171" spans="19:19">
      <c r="S1171" s="109"/>
    </row>
    <row r="1172" spans="19:19">
      <c r="S1172" s="109"/>
    </row>
    <row r="1173" spans="19:19">
      <c r="S1173" s="109"/>
    </row>
    <row r="1174" spans="19:19">
      <c r="S1174" s="109"/>
    </row>
    <row r="1175" spans="19:19">
      <c r="S1175" s="109"/>
    </row>
    <row r="1176" spans="19:19">
      <c r="S1176" s="109"/>
    </row>
    <row r="1177" spans="19:19">
      <c r="S1177" s="109"/>
    </row>
    <row r="1178" spans="19:19">
      <c r="S1178" s="109"/>
    </row>
    <row r="1179" spans="19:19">
      <c r="S1179" s="109"/>
    </row>
    <row r="1180" spans="19:19">
      <c r="S1180" s="109"/>
    </row>
    <row r="1181" spans="19:19">
      <c r="S1181" s="109"/>
    </row>
    <row r="1182" spans="19:19">
      <c r="S1182" s="109"/>
    </row>
    <row r="1183" spans="19:19">
      <c r="S1183" s="109"/>
    </row>
    <row r="1184" spans="19:19">
      <c r="S1184" s="109"/>
    </row>
    <row r="1185" spans="19:19">
      <c r="S1185" s="109"/>
    </row>
    <row r="1186" spans="19:19">
      <c r="S1186" s="109"/>
    </row>
    <row r="1187" spans="19:19">
      <c r="S1187" s="109"/>
    </row>
    <row r="1188" spans="19:19">
      <c r="S1188" s="109"/>
    </row>
    <row r="1189" spans="19:19">
      <c r="S1189" s="109"/>
    </row>
    <row r="1190" spans="19:19">
      <c r="S1190" s="109"/>
    </row>
    <row r="1191" spans="19:19">
      <c r="S1191" s="109"/>
    </row>
    <row r="1192" spans="19:19">
      <c r="S1192" s="109"/>
    </row>
    <row r="1193" spans="19:19">
      <c r="S1193" s="109"/>
    </row>
    <row r="1194" spans="19:19">
      <c r="S1194" s="109"/>
    </row>
    <row r="1195" spans="19:19">
      <c r="S1195" s="109"/>
    </row>
    <row r="1196" spans="19:19">
      <c r="S1196" s="109"/>
    </row>
    <row r="1197" spans="19:19">
      <c r="S1197" s="109"/>
    </row>
    <row r="1198" spans="19:19">
      <c r="S1198" s="109"/>
    </row>
    <row r="1199" spans="19:19">
      <c r="S1199" s="109"/>
    </row>
    <row r="1200" spans="19:19">
      <c r="S1200" s="109"/>
    </row>
    <row r="1201" spans="19:19">
      <c r="S1201" s="109"/>
    </row>
    <row r="1202" spans="19:19">
      <c r="S1202" s="109"/>
    </row>
    <row r="1203" spans="19:19">
      <c r="S1203" s="109"/>
    </row>
    <row r="1204" spans="19:19">
      <c r="S1204" s="109"/>
    </row>
    <row r="1205" spans="19:19">
      <c r="S1205" s="109"/>
    </row>
    <row r="1206" spans="19:19">
      <c r="S1206" s="109"/>
    </row>
    <row r="1207" spans="19:19">
      <c r="S1207" s="109"/>
    </row>
    <row r="1208" spans="19:19">
      <c r="S1208" s="109"/>
    </row>
    <row r="1209" spans="19:19">
      <c r="S1209" s="109"/>
    </row>
    <row r="1210" spans="19:19">
      <c r="S1210" s="109"/>
    </row>
    <row r="1211" spans="19:19">
      <c r="S1211" s="109"/>
    </row>
    <row r="1212" spans="19:19">
      <c r="S1212" s="109"/>
    </row>
    <row r="1213" spans="19:19">
      <c r="S1213" s="109"/>
    </row>
    <row r="1214" spans="19:19">
      <c r="S1214" s="109"/>
    </row>
    <row r="1215" spans="19:19">
      <c r="S1215" s="109"/>
    </row>
    <row r="1216" spans="19:19">
      <c r="S1216" s="109"/>
    </row>
    <row r="1217" spans="19:19">
      <c r="S1217" s="109"/>
    </row>
    <row r="1218" spans="19:19">
      <c r="S1218" s="109"/>
    </row>
    <row r="1219" spans="19:19">
      <c r="S1219" s="109"/>
    </row>
    <row r="1220" spans="19:19">
      <c r="S1220" s="109"/>
    </row>
    <row r="1221" spans="19:19">
      <c r="S1221" s="109"/>
    </row>
    <row r="1222" spans="19:19">
      <c r="S1222" s="109"/>
    </row>
    <row r="1223" spans="19:19">
      <c r="S1223" s="109"/>
    </row>
    <row r="1224" spans="19:19">
      <c r="S1224" s="109"/>
    </row>
    <row r="1225" spans="19:19">
      <c r="S1225" s="109"/>
    </row>
    <row r="1226" spans="19:19">
      <c r="S1226" s="109"/>
    </row>
    <row r="1227" spans="19:19">
      <c r="S1227" s="109"/>
    </row>
    <row r="1228" spans="19:19">
      <c r="S1228" s="109"/>
    </row>
    <row r="1229" spans="19:19">
      <c r="S1229" s="109"/>
    </row>
    <row r="1230" spans="19:19">
      <c r="S1230" s="109"/>
    </row>
    <row r="1231" spans="19:19">
      <c r="S1231" s="109"/>
    </row>
    <row r="1232" spans="19:19">
      <c r="S1232" s="109"/>
    </row>
    <row r="1233" spans="19:19">
      <c r="S1233" s="109"/>
    </row>
    <row r="1234" spans="19:19">
      <c r="S1234" s="109"/>
    </row>
    <row r="1235" spans="19:19">
      <c r="S1235" s="109"/>
    </row>
    <row r="1236" spans="19:19">
      <c r="S1236" s="109"/>
    </row>
    <row r="1237" spans="19:19">
      <c r="S1237" s="109"/>
    </row>
    <row r="1238" spans="19:19">
      <c r="S1238" s="109"/>
    </row>
    <row r="1239" spans="19:19">
      <c r="S1239" s="109"/>
    </row>
    <row r="1240" spans="19:19">
      <c r="S1240" s="109"/>
    </row>
    <row r="1241" spans="19:19">
      <c r="S1241" s="109"/>
    </row>
    <row r="1242" spans="19:19">
      <c r="S1242" s="109"/>
    </row>
    <row r="1243" spans="19:19">
      <c r="S1243" s="109"/>
    </row>
    <row r="1244" spans="19:19">
      <c r="S1244" s="109"/>
    </row>
    <row r="1245" spans="19:19">
      <c r="S1245" s="109"/>
    </row>
    <row r="1246" spans="19:19">
      <c r="S1246" s="109"/>
    </row>
    <row r="1247" spans="19:19">
      <c r="S1247" s="109"/>
    </row>
    <row r="1248" spans="19:19">
      <c r="S1248" s="109"/>
    </row>
    <row r="1249" spans="19:19">
      <c r="S1249" s="109"/>
    </row>
    <row r="1250" spans="19:19">
      <c r="S1250" s="109"/>
    </row>
    <row r="1251" spans="19:19">
      <c r="S1251" s="109"/>
    </row>
    <row r="1252" spans="19:19">
      <c r="S1252" s="109"/>
    </row>
    <row r="1253" spans="19:19">
      <c r="S1253" s="109"/>
    </row>
    <row r="1254" spans="19:19">
      <c r="S1254" s="109"/>
    </row>
    <row r="1255" spans="19:19">
      <c r="S1255" s="109"/>
    </row>
    <row r="1256" spans="19:19">
      <c r="S1256" s="109"/>
    </row>
    <row r="1257" spans="19:19">
      <c r="S1257" s="109"/>
    </row>
    <row r="1258" spans="19:19">
      <c r="S1258" s="109"/>
    </row>
    <row r="1259" spans="19:19">
      <c r="S1259" s="109"/>
    </row>
    <row r="1260" spans="19:19">
      <c r="S1260" s="109"/>
    </row>
    <row r="1261" spans="19:19">
      <c r="S1261" s="109"/>
    </row>
    <row r="1262" spans="19:19">
      <c r="S1262" s="109"/>
    </row>
    <row r="1263" spans="19:19">
      <c r="S1263" s="109"/>
    </row>
    <row r="1264" spans="19:19">
      <c r="S1264" s="109"/>
    </row>
    <row r="1265" spans="19:19">
      <c r="S1265" s="109"/>
    </row>
    <row r="1266" spans="19:19">
      <c r="S1266" s="109"/>
    </row>
    <row r="1267" spans="19:19">
      <c r="S1267" s="109"/>
    </row>
    <row r="1268" spans="19:19">
      <c r="S1268" s="109"/>
    </row>
    <row r="1269" spans="19:19">
      <c r="S1269" s="109"/>
    </row>
    <row r="1270" spans="19:19">
      <c r="S1270" s="109"/>
    </row>
    <row r="1271" spans="19:19">
      <c r="S1271" s="109"/>
    </row>
    <row r="1272" spans="19:19">
      <c r="S1272" s="109"/>
    </row>
    <row r="1273" spans="19:19">
      <c r="S1273" s="109"/>
    </row>
    <row r="1274" spans="19:19">
      <c r="S1274" s="109"/>
    </row>
    <row r="1275" spans="19:19">
      <c r="S1275" s="109"/>
    </row>
    <row r="1276" spans="19:19">
      <c r="S1276" s="109"/>
    </row>
    <row r="1277" spans="19:19">
      <c r="S1277" s="109"/>
    </row>
    <row r="1278" spans="19:19">
      <c r="S1278" s="109"/>
    </row>
    <row r="1279" spans="19:19">
      <c r="S1279" s="109"/>
    </row>
    <row r="1280" spans="19:19">
      <c r="S1280" s="109"/>
    </row>
    <row r="1281" spans="19:19">
      <c r="S1281" s="109"/>
    </row>
    <row r="1282" spans="19:19">
      <c r="S1282" s="109"/>
    </row>
    <row r="1283" spans="19:19">
      <c r="S1283" s="109"/>
    </row>
    <row r="1284" spans="19:19">
      <c r="S1284" s="109"/>
    </row>
    <row r="1285" spans="19:19">
      <c r="S1285" s="109"/>
    </row>
    <row r="1286" spans="19:19">
      <c r="S1286" s="109"/>
    </row>
    <row r="1287" spans="19:19">
      <c r="S1287" s="109"/>
    </row>
    <row r="1288" spans="19:19">
      <c r="S1288" s="109"/>
    </row>
    <row r="1289" spans="19:19">
      <c r="S1289" s="109"/>
    </row>
    <row r="1290" spans="19:19">
      <c r="S1290" s="109"/>
    </row>
    <row r="1291" spans="19:19">
      <c r="S1291" s="109"/>
    </row>
    <row r="1292" spans="19:19">
      <c r="S1292" s="109"/>
    </row>
    <row r="1293" spans="19:19">
      <c r="S1293" s="109"/>
    </row>
    <row r="1294" spans="19:19">
      <c r="S1294" s="109"/>
    </row>
    <row r="1295" spans="19:19">
      <c r="S1295" s="109"/>
    </row>
    <row r="1296" spans="19:19">
      <c r="S1296" s="109"/>
    </row>
    <row r="1297" spans="19:19">
      <c r="S1297" s="109"/>
    </row>
    <row r="1298" spans="19:19">
      <c r="S1298" s="109"/>
    </row>
    <row r="1299" spans="19:19">
      <c r="S1299" s="109"/>
    </row>
    <row r="1300" spans="19:19">
      <c r="S1300" s="109"/>
    </row>
    <row r="1301" spans="19:19">
      <c r="S1301" s="109"/>
    </row>
    <row r="1302" spans="19:19">
      <c r="S1302" s="109"/>
    </row>
    <row r="1303" spans="19:19">
      <c r="S1303" s="109"/>
    </row>
    <row r="1304" spans="19:19">
      <c r="S1304" s="109"/>
    </row>
    <row r="1305" spans="19:19">
      <c r="S1305" s="109"/>
    </row>
    <row r="1306" spans="19:19">
      <c r="S1306" s="109"/>
    </row>
    <row r="1307" spans="19:19">
      <c r="S1307" s="109"/>
    </row>
    <row r="1308" spans="19:19">
      <c r="S1308" s="109"/>
    </row>
    <row r="1309" spans="19:19">
      <c r="S1309" s="109"/>
    </row>
    <row r="1310" spans="19:19">
      <c r="S1310" s="109"/>
    </row>
    <row r="1311" spans="19:19">
      <c r="S1311" s="109"/>
    </row>
    <row r="1312" spans="19:19">
      <c r="S1312" s="109"/>
    </row>
    <row r="1313" spans="19:19">
      <c r="S1313" s="109"/>
    </row>
    <row r="1314" spans="19:19">
      <c r="S1314" s="109"/>
    </row>
    <row r="1315" spans="19:19">
      <c r="S1315" s="109"/>
    </row>
    <row r="1316" spans="19:19">
      <c r="S1316" s="109"/>
    </row>
    <row r="1317" spans="19:19">
      <c r="S1317" s="109"/>
    </row>
    <row r="1318" spans="19:19">
      <c r="S1318" s="109"/>
    </row>
    <row r="1319" spans="19:19">
      <c r="S1319" s="109"/>
    </row>
    <row r="1320" spans="19:19">
      <c r="S1320" s="109"/>
    </row>
    <row r="1321" spans="19:19">
      <c r="S1321" s="109"/>
    </row>
    <row r="1322" spans="19:19">
      <c r="S1322" s="109"/>
    </row>
    <row r="1323" spans="19:19">
      <c r="S1323" s="109"/>
    </row>
    <row r="1324" spans="19:19">
      <c r="S1324" s="109"/>
    </row>
    <row r="1325" spans="19:19">
      <c r="S1325" s="109"/>
    </row>
    <row r="1326" spans="19:19">
      <c r="S1326" s="109"/>
    </row>
    <row r="1327" spans="19:19">
      <c r="S1327" s="109"/>
    </row>
    <row r="1328" spans="19:19">
      <c r="S1328" s="109"/>
    </row>
    <row r="1329" spans="19:19">
      <c r="S1329" s="109"/>
    </row>
    <row r="1330" spans="19:19">
      <c r="S1330" s="109"/>
    </row>
    <row r="1331" spans="19:19">
      <c r="S1331" s="109"/>
    </row>
    <row r="1332" spans="19:19">
      <c r="S1332" s="109"/>
    </row>
    <row r="1333" spans="19:19">
      <c r="S1333" s="109"/>
    </row>
    <row r="1334" spans="19:19">
      <c r="S1334" s="109"/>
    </row>
    <row r="1335" spans="19:19">
      <c r="S1335" s="109"/>
    </row>
    <row r="1336" spans="19:19">
      <c r="S1336" s="109"/>
    </row>
    <row r="1337" spans="19:19">
      <c r="S1337" s="109"/>
    </row>
    <row r="1338" spans="19:19">
      <c r="S1338" s="109"/>
    </row>
    <row r="1339" spans="19:19">
      <c r="S1339" s="109"/>
    </row>
    <row r="1340" spans="19:19">
      <c r="S1340" s="109"/>
    </row>
    <row r="1341" spans="19:19">
      <c r="S1341" s="109"/>
    </row>
    <row r="1342" spans="19:19">
      <c r="S1342" s="109"/>
    </row>
    <row r="1343" spans="19:19">
      <c r="S1343" s="109"/>
    </row>
    <row r="1344" spans="19:19">
      <c r="S1344" s="109"/>
    </row>
    <row r="1345" spans="19:19">
      <c r="S1345" s="109"/>
    </row>
    <row r="1346" spans="19:19">
      <c r="S1346" s="109"/>
    </row>
    <row r="1347" spans="19:19">
      <c r="S1347" s="109"/>
    </row>
    <row r="1348" spans="19:19">
      <c r="S1348" s="109"/>
    </row>
    <row r="1349" spans="19:19">
      <c r="S1349" s="109"/>
    </row>
    <row r="1350" spans="19:19">
      <c r="S1350" s="109"/>
    </row>
    <row r="1351" spans="19:19">
      <c r="S1351" s="109"/>
    </row>
    <row r="1352" spans="19:19">
      <c r="S1352" s="109"/>
    </row>
    <row r="1353" spans="19:19">
      <c r="S1353" s="109"/>
    </row>
    <row r="1354" spans="19:19">
      <c r="S1354" s="109"/>
    </row>
    <row r="1355" spans="19:19">
      <c r="S1355" s="109"/>
    </row>
    <row r="1356" spans="19:19">
      <c r="S1356" s="109"/>
    </row>
    <row r="1357" spans="19:19">
      <c r="S1357" s="109"/>
    </row>
    <row r="1358" spans="19:19">
      <c r="S1358" s="109"/>
    </row>
    <row r="1359" spans="19:19">
      <c r="S1359" s="109"/>
    </row>
    <row r="1360" spans="19:19">
      <c r="S1360" s="109"/>
    </row>
    <row r="1361" spans="19:19">
      <c r="S1361" s="109"/>
    </row>
    <row r="1362" spans="19:19">
      <c r="S1362" s="109"/>
    </row>
    <row r="1363" spans="19:19">
      <c r="S1363" s="109"/>
    </row>
    <row r="1364" spans="19:19">
      <c r="S1364" s="109"/>
    </row>
    <row r="1365" spans="19:19">
      <c r="S1365" s="109"/>
    </row>
    <row r="1366" spans="19:19">
      <c r="S1366" s="109"/>
    </row>
    <row r="1367" spans="19:19">
      <c r="S1367" s="109"/>
    </row>
    <row r="1368" spans="19:19">
      <c r="S1368" s="109"/>
    </row>
    <row r="1369" spans="19:19">
      <c r="S1369" s="109"/>
    </row>
    <row r="1370" spans="19:19">
      <c r="S1370" s="109"/>
    </row>
    <row r="1371" spans="19:19">
      <c r="S1371" s="109"/>
    </row>
    <row r="1372" spans="19:19">
      <c r="S1372" s="109"/>
    </row>
    <row r="1373" spans="19:19">
      <c r="S1373" s="109"/>
    </row>
    <row r="1374" spans="19:19">
      <c r="S1374" s="109"/>
    </row>
    <row r="1375" spans="19:19">
      <c r="S1375" s="109"/>
    </row>
    <row r="1376" spans="19:19">
      <c r="S1376" s="109"/>
    </row>
    <row r="1377" spans="19:19">
      <c r="S1377" s="109"/>
    </row>
    <row r="1378" spans="19:19">
      <c r="S1378" s="109"/>
    </row>
    <row r="1379" spans="19:19">
      <c r="S1379" s="109"/>
    </row>
    <row r="1380" spans="19:19">
      <c r="S1380" s="109"/>
    </row>
    <row r="1381" spans="19:19">
      <c r="S1381" s="109"/>
    </row>
    <row r="1382" spans="19:19">
      <c r="S1382" s="109"/>
    </row>
    <row r="1383" spans="19:19">
      <c r="S1383" s="109"/>
    </row>
    <row r="1384" spans="19:19">
      <c r="S1384" s="109"/>
    </row>
    <row r="1385" spans="19:19">
      <c r="S1385" s="109"/>
    </row>
    <row r="1386" spans="19:19">
      <c r="S1386" s="109"/>
    </row>
    <row r="1387" spans="19:19">
      <c r="S1387" s="109"/>
    </row>
    <row r="1388" spans="19:19">
      <c r="S1388" s="109"/>
    </row>
    <row r="1389" spans="19:19">
      <c r="S1389" s="109"/>
    </row>
    <row r="1390" spans="19:19">
      <c r="S1390" s="109"/>
    </row>
    <row r="1391" spans="19:19">
      <c r="S1391" s="109"/>
    </row>
    <row r="1392" spans="19:19">
      <c r="S1392" s="109"/>
    </row>
    <row r="1393" spans="19:19">
      <c r="S1393" s="109"/>
    </row>
    <row r="1394" spans="19:19">
      <c r="S1394" s="109"/>
    </row>
    <row r="1395" spans="19:19">
      <c r="S1395" s="109"/>
    </row>
    <row r="1396" spans="19:19">
      <c r="S1396" s="109"/>
    </row>
    <row r="1397" spans="19:19">
      <c r="S1397" s="109"/>
    </row>
    <row r="1398" spans="19:19">
      <c r="S1398" s="109"/>
    </row>
    <row r="1399" spans="19:19">
      <c r="S1399" s="109"/>
    </row>
    <row r="1400" spans="19:19">
      <c r="S1400" s="109"/>
    </row>
    <row r="1401" spans="19:19">
      <c r="S1401" s="109"/>
    </row>
    <row r="1402" spans="19:19">
      <c r="S1402" s="109"/>
    </row>
    <row r="1403" spans="19:19">
      <c r="S1403" s="109"/>
    </row>
    <row r="1404" spans="19:19">
      <c r="S1404" s="109"/>
    </row>
    <row r="1405" spans="19:19">
      <c r="S1405" s="109"/>
    </row>
    <row r="1406" spans="19:19">
      <c r="S1406" s="109"/>
    </row>
    <row r="1407" spans="19:19">
      <c r="S1407" s="109"/>
    </row>
    <row r="1408" spans="19:19">
      <c r="S1408" s="109"/>
    </row>
    <row r="1409" spans="19:19">
      <c r="S1409" s="109"/>
    </row>
    <row r="1410" spans="19:19">
      <c r="S1410" s="109"/>
    </row>
    <row r="1411" spans="19:19">
      <c r="S1411" s="109"/>
    </row>
    <row r="1412" spans="19:19">
      <c r="S1412" s="109"/>
    </row>
    <row r="1413" spans="19:19">
      <c r="S1413" s="109"/>
    </row>
    <row r="1414" spans="19:19">
      <c r="S1414" s="109"/>
    </row>
    <row r="1415" spans="19:19">
      <c r="S1415" s="109"/>
    </row>
    <row r="1416" spans="19:19">
      <c r="S1416" s="109"/>
    </row>
    <row r="1417" spans="19:19">
      <c r="S1417" s="109"/>
    </row>
    <row r="1418" spans="19:19">
      <c r="S1418" s="109"/>
    </row>
    <row r="1419" spans="19:19">
      <c r="S1419" s="109"/>
    </row>
    <row r="1420" spans="19:19">
      <c r="S1420" s="109"/>
    </row>
    <row r="1421" spans="19:19">
      <c r="S1421" s="109"/>
    </row>
    <row r="1422" spans="19:19">
      <c r="S1422" s="109"/>
    </row>
    <row r="1423" spans="19:19">
      <c r="S1423" s="109"/>
    </row>
    <row r="1424" spans="19:19">
      <c r="S1424" s="109"/>
    </row>
    <row r="1425" spans="19:19">
      <c r="S1425" s="109"/>
    </row>
    <row r="1426" spans="19:19">
      <c r="S1426" s="109"/>
    </row>
    <row r="1427" spans="19:19">
      <c r="S1427" s="109"/>
    </row>
    <row r="1428" spans="19:19">
      <c r="S1428" s="109"/>
    </row>
    <row r="1429" spans="19:19">
      <c r="S1429" s="109"/>
    </row>
    <row r="1430" spans="19:19">
      <c r="S1430" s="109"/>
    </row>
    <row r="1431" spans="19:19">
      <c r="S1431" s="109"/>
    </row>
    <row r="1432" spans="19:19">
      <c r="S1432" s="109"/>
    </row>
    <row r="1433" spans="19:19">
      <c r="S1433" s="109"/>
    </row>
    <row r="1434" spans="19:19">
      <c r="S1434" s="109"/>
    </row>
    <row r="1435" spans="19:19">
      <c r="S1435" s="109"/>
    </row>
    <row r="1436" spans="19:19">
      <c r="S1436" s="109"/>
    </row>
    <row r="1437" spans="19:19">
      <c r="S1437" s="109"/>
    </row>
    <row r="1438" spans="19:19">
      <c r="S1438" s="109"/>
    </row>
    <row r="1439" spans="19:19">
      <c r="S1439" s="109"/>
    </row>
    <row r="1440" spans="19:19">
      <c r="S1440" s="109"/>
    </row>
    <row r="1441" spans="19:19">
      <c r="S1441" s="109"/>
    </row>
    <row r="1442" spans="19:19">
      <c r="S1442" s="109"/>
    </row>
    <row r="1443" spans="19:19">
      <c r="S1443" s="109"/>
    </row>
    <row r="1444" spans="19:19">
      <c r="S1444" s="109"/>
    </row>
    <row r="1445" spans="19:19">
      <c r="S1445" s="109"/>
    </row>
    <row r="1446" spans="19:19">
      <c r="S1446" s="109"/>
    </row>
    <row r="1447" spans="19:19">
      <c r="S1447" s="109"/>
    </row>
    <row r="1448" spans="19:19">
      <c r="S1448" s="109"/>
    </row>
    <row r="1449" spans="19:19">
      <c r="S1449" s="109"/>
    </row>
    <row r="1450" spans="19:19">
      <c r="S1450" s="109"/>
    </row>
    <row r="1451" spans="19:19">
      <c r="S1451" s="109"/>
    </row>
    <row r="1452" spans="19:19">
      <c r="S1452" s="109"/>
    </row>
    <row r="1453" spans="19:19">
      <c r="S1453" s="109"/>
    </row>
    <row r="1454" spans="19:19">
      <c r="S1454" s="109"/>
    </row>
    <row r="1455" spans="19:19">
      <c r="S1455" s="109"/>
    </row>
    <row r="1456" spans="19:19">
      <c r="S1456" s="109"/>
    </row>
    <row r="1457" spans="19:19">
      <c r="S1457" s="109"/>
    </row>
    <row r="1458" spans="19:19">
      <c r="S1458" s="109"/>
    </row>
    <row r="1459" spans="19:19">
      <c r="S1459" s="109"/>
    </row>
    <row r="1460" spans="19:19">
      <c r="S1460" s="109"/>
    </row>
    <row r="1461" spans="19:19">
      <c r="S1461" s="109"/>
    </row>
    <row r="1462" spans="19:19">
      <c r="S1462" s="109"/>
    </row>
    <row r="1463" spans="19:19">
      <c r="S1463" s="109"/>
    </row>
    <row r="1464" spans="19:19">
      <c r="S1464" s="109"/>
    </row>
    <row r="1465" spans="19:19">
      <c r="S1465" s="109"/>
    </row>
    <row r="1466" spans="19:19">
      <c r="S1466" s="109"/>
    </row>
    <row r="1467" spans="19:19">
      <c r="S1467" s="109"/>
    </row>
    <row r="1468" spans="19:19">
      <c r="S1468" s="109"/>
    </row>
    <row r="1469" spans="19:19">
      <c r="S1469" s="109"/>
    </row>
    <row r="1470" spans="19:19">
      <c r="S1470" s="109"/>
    </row>
    <row r="1471" spans="19:19">
      <c r="S1471" s="109"/>
    </row>
    <row r="1472" spans="19:19">
      <c r="S1472" s="109"/>
    </row>
    <row r="1473" spans="19:19">
      <c r="S1473" s="109"/>
    </row>
    <row r="1474" spans="19:19">
      <c r="S1474" s="109"/>
    </row>
    <row r="1475" spans="19:19">
      <c r="S1475" s="109"/>
    </row>
    <row r="1476" spans="19:19">
      <c r="S1476" s="109"/>
    </row>
    <row r="1477" spans="19:19">
      <c r="S1477" s="109"/>
    </row>
    <row r="1478" spans="19:19">
      <c r="S1478" s="109"/>
    </row>
    <row r="1479" spans="19:19">
      <c r="S1479" s="109"/>
    </row>
    <row r="1480" spans="19:19">
      <c r="S1480" s="109"/>
    </row>
    <row r="1481" spans="19:19">
      <c r="S1481" s="109"/>
    </row>
    <row r="1482" spans="19:19">
      <c r="S1482" s="109"/>
    </row>
    <row r="1483" spans="19:19">
      <c r="S1483" s="109"/>
    </row>
    <row r="1484" spans="19:19">
      <c r="S1484" s="109"/>
    </row>
    <row r="1485" spans="19:19">
      <c r="S1485" s="109"/>
    </row>
    <row r="1486" spans="19:19">
      <c r="S1486" s="109"/>
    </row>
    <row r="1487" spans="19:19">
      <c r="S1487" s="109"/>
    </row>
    <row r="1488" spans="19:19">
      <c r="S1488" s="109"/>
    </row>
    <row r="1489" spans="19:19">
      <c r="S1489" s="109"/>
    </row>
    <row r="1490" spans="19:19">
      <c r="S1490" s="109"/>
    </row>
    <row r="1491" spans="19:19">
      <c r="S1491" s="109"/>
    </row>
    <row r="1492" spans="19:19">
      <c r="S1492" s="109"/>
    </row>
    <row r="1493" spans="19:19">
      <c r="S1493" s="109"/>
    </row>
    <row r="1494" spans="19:19">
      <c r="S1494" s="109"/>
    </row>
    <row r="1495" spans="19:19">
      <c r="S1495" s="109"/>
    </row>
    <row r="1496" spans="19:19">
      <c r="S1496" s="109"/>
    </row>
    <row r="1497" spans="19:19">
      <c r="S1497" s="109"/>
    </row>
    <row r="1498" spans="19:19">
      <c r="S1498" s="109"/>
    </row>
    <row r="1499" spans="19:19">
      <c r="S1499" s="109"/>
    </row>
    <row r="1500" spans="19:19">
      <c r="S1500" s="109"/>
    </row>
    <row r="1501" spans="19:19">
      <c r="S1501" s="109"/>
    </row>
    <row r="1502" spans="19:19">
      <c r="S1502" s="109"/>
    </row>
    <row r="1503" spans="19:19">
      <c r="S1503" s="109"/>
    </row>
    <row r="1504" spans="19:19">
      <c r="S1504" s="109"/>
    </row>
    <row r="1505" spans="19:19">
      <c r="S1505" s="109"/>
    </row>
    <row r="1506" spans="19:19">
      <c r="S1506" s="109"/>
    </row>
    <row r="1507" spans="19:19">
      <c r="S1507" s="109"/>
    </row>
    <row r="1508" spans="19:19">
      <c r="S1508" s="109"/>
    </row>
    <row r="1509" spans="19:19">
      <c r="S1509" s="109"/>
    </row>
    <row r="1510" spans="19:19">
      <c r="S1510" s="109"/>
    </row>
    <row r="1511" spans="19:19">
      <c r="S1511" s="109"/>
    </row>
    <row r="1512" spans="19:19">
      <c r="S1512" s="109"/>
    </row>
    <row r="1513" spans="19:19">
      <c r="S1513" s="109"/>
    </row>
    <row r="1514" spans="19:19">
      <c r="S1514" s="109"/>
    </row>
    <row r="1515" spans="19:19">
      <c r="S1515" s="109"/>
    </row>
    <row r="1516" spans="19:19">
      <c r="S1516" s="109"/>
    </row>
    <row r="1517" spans="19:19">
      <c r="S1517" s="109"/>
    </row>
    <row r="1518" spans="19:19">
      <c r="S1518" s="109"/>
    </row>
    <row r="1519" spans="19:19">
      <c r="S1519" s="109"/>
    </row>
    <row r="1520" spans="19:19">
      <c r="S1520" s="109"/>
    </row>
    <row r="1521" spans="19:19">
      <c r="S1521" s="109"/>
    </row>
    <row r="1522" spans="19:19">
      <c r="S1522" s="109"/>
    </row>
    <row r="1523" spans="19:19">
      <c r="S1523" s="109"/>
    </row>
    <row r="1524" spans="19:19">
      <c r="S1524" s="109"/>
    </row>
    <row r="1525" spans="19:19">
      <c r="S1525" s="109"/>
    </row>
    <row r="1526" spans="19:19">
      <c r="S1526" s="109"/>
    </row>
    <row r="1527" spans="19:19">
      <c r="S1527" s="109"/>
    </row>
    <row r="1528" spans="19:19">
      <c r="S1528" s="109"/>
    </row>
    <row r="1529" spans="19:19">
      <c r="S1529" s="109"/>
    </row>
    <row r="1530" spans="19:19">
      <c r="S1530" s="109"/>
    </row>
    <row r="1531" spans="19:19">
      <c r="S1531" s="109"/>
    </row>
    <row r="1532" spans="19:19">
      <c r="S1532" s="109"/>
    </row>
    <row r="1533" spans="19:19">
      <c r="S1533" s="109"/>
    </row>
    <row r="1534" spans="19:19">
      <c r="S1534" s="109"/>
    </row>
    <row r="1535" spans="19:19">
      <c r="S1535" s="109"/>
    </row>
    <row r="1536" spans="19:19">
      <c r="S1536" s="109"/>
    </row>
    <row r="1537" spans="19:19">
      <c r="S1537" s="109"/>
    </row>
    <row r="1538" spans="19:19">
      <c r="S1538" s="109"/>
    </row>
    <row r="1539" spans="19:19">
      <c r="S1539" s="109"/>
    </row>
    <row r="1540" spans="19:19">
      <c r="S1540" s="109"/>
    </row>
    <row r="1541" spans="19:19">
      <c r="S1541" s="109"/>
    </row>
    <row r="1542" spans="19:19">
      <c r="S1542" s="109"/>
    </row>
    <row r="1543" spans="19:19">
      <c r="S1543" s="109"/>
    </row>
    <row r="1544" spans="19:19">
      <c r="S1544" s="109"/>
    </row>
    <row r="1545" spans="19:19">
      <c r="S1545" s="109"/>
    </row>
    <row r="1546" spans="19:19">
      <c r="S1546" s="109"/>
    </row>
    <row r="1547" spans="19:19">
      <c r="S1547" s="109"/>
    </row>
    <row r="1548" spans="19:19">
      <c r="S1548" s="109"/>
    </row>
    <row r="1549" spans="19:19">
      <c r="S1549" s="109"/>
    </row>
    <row r="1550" spans="19:19">
      <c r="S1550" s="109"/>
    </row>
    <row r="1551" spans="19:19">
      <c r="S1551" s="109"/>
    </row>
    <row r="1552" spans="19:19">
      <c r="S1552" s="109"/>
    </row>
    <row r="1553" spans="19:19">
      <c r="S1553" s="109"/>
    </row>
    <row r="1554" spans="19:19">
      <c r="S1554" s="109"/>
    </row>
    <row r="1555" spans="19:19">
      <c r="S1555" s="109"/>
    </row>
    <row r="1556" spans="19:19">
      <c r="S1556" s="109"/>
    </row>
    <row r="1557" spans="19:19">
      <c r="S1557" s="109"/>
    </row>
    <row r="1558" spans="19:19">
      <c r="S1558" s="109"/>
    </row>
    <row r="1559" spans="19:19">
      <c r="S1559" s="109"/>
    </row>
    <row r="1560" spans="19:19">
      <c r="S1560" s="109"/>
    </row>
    <row r="1561" spans="19:19">
      <c r="S1561" s="109"/>
    </row>
    <row r="1562" spans="19:19">
      <c r="S1562" s="109"/>
    </row>
    <row r="1563" spans="19:19">
      <c r="S1563" s="109"/>
    </row>
    <row r="1564" spans="19:19">
      <c r="S1564" s="109"/>
    </row>
    <row r="1565" spans="19:19">
      <c r="S1565" s="109"/>
    </row>
    <row r="1566" spans="19:19">
      <c r="S1566" s="109"/>
    </row>
    <row r="1567" spans="19:19">
      <c r="S1567" s="109"/>
    </row>
    <row r="1568" spans="19:19">
      <c r="S1568" s="109"/>
    </row>
    <row r="1569" spans="19:19">
      <c r="S1569" s="109"/>
    </row>
    <row r="1570" spans="19:19">
      <c r="S1570" s="109"/>
    </row>
    <row r="1571" spans="19:19">
      <c r="S1571" s="109"/>
    </row>
    <row r="1572" spans="19:19">
      <c r="S1572" s="109"/>
    </row>
    <row r="1573" spans="19:19">
      <c r="S1573" s="109"/>
    </row>
    <row r="1574" spans="19:19">
      <c r="S1574" s="109"/>
    </row>
    <row r="1575" spans="19:19">
      <c r="S1575" s="109"/>
    </row>
    <row r="1576" spans="19:19">
      <c r="S1576" s="109"/>
    </row>
    <row r="1577" spans="19:19">
      <c r="S1577" s="109"/>
    </row>
    <row r="1578" spans="19:19">
      <c r="S1578" s="109"/>
    </row>
    <row r="1579" spans="19:19">
      <c r="S1579" s="109"/>
    </row>
    <row r="1580" spans="19:19">
      <c r="S1580" s="109"/>
    </row>
    <row r="1581" spans="19:19">
      <c r="S1581" s="109"/>
    </row>
    <row r="1582" spans="19:19">
      <c r="S1582" s="109"/>
    </row>
    <row r="1583" spans="19:19">
      <c r="S1583" s="109"/>
    </row>
    <row r="1584" spans="19:19">
      <c r="S1584" s="109"/>
    </row>
    <row r="1585" spans="19:19">
      <c r="S1585" s="109"/>
    </row>
    <row r="1586" spans="19:19">
      <c r="S1586" s="109"/>
    </row>
    <row r="1587" spans="19:19">
      <c r="S1587" s="109"/>
    </row>
    <row r="1588" spans="19:19">
      <c r="S1588" s="109"/>
    </row>
    <row r="1589" spans="19:19">
      <c r="S1589" s="109"/>
    </row>
    <row r="1590" spans="19:19">
      <c r="S1590" s="109"/>
    </row>
    <row r="1591" spans="19:19">
      <c r="S1591" s="109"/>
    </row>
    <row r="1592" spans="19:19">
      <c r="S1592" s="109"/>
    </row>
    <row r="1593" spans="19:19">
      <c r="S1593" s="109"/>
    </row>
    <row r="1594" spans="19:19">
      <c r="S1594" s="109"/>
    </row>
    <row r="1595" spans="19:19">
      <c r="S1595" s="109"/>
    </row>
    <row r="1596" spans="19:19">
      <c r="S1596" s="109"/>
    </row>
    <row r="1597" spans="19:19">
      <c r="S1597" s="109"/>
    </row>
    <row r="1598" spans="19:19">
      <c r="S1598" s="109"/>
    </row>
    <row r="1599" spans="19:19">
      <c r="S1599" s="109"/>
    </row>
    <row r="1600" spans="19:19">
      <c r="S1600" s="109"/>
    </row>
    <row r="1601" spans="19:19">
      <c r="S1601" s="109"/>
    </row>
    <row r="1602" spans="19:19">
      <c r="S1602" s="109"/>
    </row>
    <row r="1603" spans="19:19">
      <c r="S1603" s="109"/>
    </row>
    <row r="1604" spans="19:19">
      <c r="S1604" s="109"/>
    </row>
    <row r="1605" spans="19:19">
      <c r="S1605" s="109"/>
    </row>
    <row r="1606" spans="19:19">
      <c r="S1606" s="109"/>
    </row>
    <row r="1607" spans="19:19">
      <c r="S1607" s="109"/>
    </row>
    <row r="1608" spans="19:19">
      <c r="S1608" s="109"/>
    </row>
    <row r="1609" spans="19:19">
      <c r="S1609" s="109"/>
    </row>
    <row r="1610" spans="19:19">
      <c r="S1610" s="109"/>
    </row>
    <row r="1611" spans="19:19">
      <c r="S1611" s="109"/>
    </row>
    <row r="1612" spans="19:19">
      <c r="S1612" s="109"/>
    </row>
    <row r="1613" spans="19:19">
      <c r="S1613" s="109"/>
    </row>
    <row r="1614" spans="19:19">
      <c r="S1614" s="109"/>
    </row>
    <row r="1615" spans="19:19">
      <c r="S1615" s="109"/>
    </row>
    <row r="1616" spans="19:19">
      <c r="S1616" s="109"/>
    </row>
    <row r="1617" spans="19:19">
      <c r="S1617" s="109"/>
    </row>
    <row r="1618" spans="19:19">
      <c r="S1618" s="109"/>
    </row>
    <row r="1619" spans="19:19">
      <c r="S1619" s="109"/>
    </row>
    <row r="1620" spans="19:19">
      <c r="S1620" s="109"/>
    </row>
    <row r="1621" spans="19:19">
      <c r="S1621" s="109"/>
    </row>
    <row r="1622" spans="19:19">
      <c r="S1622" s="109"/>
    </row>
    <row r="1623" spans="19:19">
      <c r="S1623" s="109"/>
    </row>
    <row r="1624" spans="19:19">
      <c r="S1624" s="109"/>
    </row>
    <row r="1625" spans="19:19">
      <c r="S1625" s="109"/>
    </row>
    <row r="1626" spans="19:19">
      <c r="S1626" s="109"/>
    </row>
    <row r="1627" spans="19:19">
      <c r="S1627" s="109"/>
    </row>
    <row r="1628" spans="19:19">
      <c r="S1628" s="109"/>
    </row>
    <row r="1629" spans="19:19">
      <c r="S1629" s="109"/>
    </row>
    <row r="1630" spans="19:19">
      <c r="S1630" s="109"/>
    </row>
    <row r="1631" spans="19:19">
      <c r="S1631" s="109"/>
    </row>
    <row r="1632" spans="19:19">
      <c r="S1632" s="109"/>
    </row>
    <row r="1633" spans="19:19">
      <c r="S1633" s="109"/>
    </row>
    <row r="1634" spans="19:19">
      <c r="S1634" s="109"/>
    </row>
    <row r="1635" spans="19:19">
      <c r="S1635" s="109"/>
    </row>
    <row r="1636" spans="19:19">
      <c r="S1636" s="109"/>
    </row>
    <row r="1637" spans="19:19">
      <c r="S1637" s="109"/>
    </row>
    <row r="1638" spans="19:19">
      <c r="S1638" s="109"/>
    </row>
    <row r="1639" spans="19:19">
      <c r="S1639" s="109"/>
    </row>
    <row r="1640" spans="19:19">
      <c r="S1640" s="109"/>
    </row>
    <row r="1641" spans="19:19">
      <c r="S1641" s="109"/>
    </row>
    <row r="1642" spans="19:19">
      <c r="S1642" s="109"/>
    </row>
    <row r="1643" spans="19:19">
      <c r="S1643" s="109"/>
    </row>
    <row r="1644" spans="19:19">
      <c r="S1644" s="109"/>
    </row>
    <row r="1645" spans="19:19">
      <c r="S1645" s="109"/>
    </row>
    <row r="1646" spans="19:19">
      <c r="S1646" s="109"/>
    </row>
    <row r="1647" spans="19:19">
      <c r="S1647" s="109"/>
    </row>
    <row r="1648" spans="19:19">
      <c r="S1648" s="109"/>
    </row>
    <row r="1649" spans="19:19">
      <c r="S1649" s="109"/>
    </row>
    <row r="1650" spans="19:19">
      <c r="S1650" s="109"/>
    </row>
    <row r="1651" spans="19:19">
      <c r="S1651" s="109"/>
    </row>
    <row r="1652" spans="19:19">
      <c r="S1652" s="109"/>
    </row>
    <row r="1653" spans="19:19">
      <c r="S1653" s="109"/>
    </row>
    <row r="1654" spans="19:19">
      <c r="S1654" s="109"/>
    </row>
    <row r="1655" spans="19:19">
      <c r="S1655" s="109"/>
    </row>
    <row r="1656" spans="19:19">
      <c r="S1656" s="109"/>
    </row>
    <row r="1657" spans="19:19">
      <c r="S1657" s="109"/>
    </row>
    <row r="1658" spans="19:19">
      <c r="S1658" s="109"/>
    </row>
    <row r="1659" spans="19:19">
      <c r="S1659" s="109"/>
    </row>
    <row r="1660" spans="19:19">
      <c r="S1660" s="109"/>
    </row>
    <row r="1661" spans="19:19">
      <c r="S1661" s="109"/>
    </row>
    <row r="1662" spans="19:19">
      <c r="S1662" s="109"/>
    </row>
    <row r="1663" spans="19:19">
      <c r="S1663" s="109"/>
    </row>
    <row r="1664" spans="19:19">
      <c r="S1664" s="109"/>
    </row>
    <row r="1665" spans="19:19">
      <c r="S1665" s="109"/>
    </row>
    <row r="1666" spans="19:19">
      <c r="S1666" s="109"/>
    </row>
    <row r="1667" spans="19:19">
      <c r="S1667" s="109"/>
    </row>
    <row r="1668" spans="19:19">
      <c r="S1668" s="109"/>
    </row>
    <row r="1669" spans="19:19">
      <c r="S1669" s="109"/>
    </row>
    <row r="1670" spans="19:19">
      <c r="S1670" s="109"/>
    </row>
    <row r="1671" spans="19:19">
      <c r="S1671" s="109"/>
    </row>
    <row r="1672" spans="19:19">
      <c r="S1672" s="109"/>
    </row>
    <row r="1673" spans="19:19">
      <c r="S1673" s="109"/>
    </row>
    <row r="1674" spans="19:19">
      <c r="S1674" s="109"/>
    </row>
    <row r="1675" spans="19:19">
      <c r="S1675" s="109"/>
    </row>
    <row r="1676" spans="19:19">
      <c r="S1676" s="109"/>
    </row>
    <row r="1677" spans="19:19">
      <c r="S1677" s="109"/>
    </row>
    <row r="1678" spans="19:19">
      <c r="S1678" s="109"/>
    </row>
    <row r="1679" spans="19:19">
      <c r="S1679" s="109"/>
    </row>
    <row r="1680" spans="19:19">
      <c r="S1680" s="109"/>
    </row>
    <row r="1681" spans="19:19">
      <c r="S1681" s="109"/>
    </row>
    <row r="1682" spans="19:19">
      <c r="S1682" s="109"/>
    </row>
    <row r="1683" spans="19:19">
      <c r="S1683" s="109"/>
    </row>
    <row r="1684" spans="19:19">
      <c r="S1684" s="109"/>
    </row>
    <row r="1685" spans="19:19">
      <c r="S1685" s="109"/>
    </row>
    <row r="1686" spans="19:19">
      <c r="S1686" s="109"/>
    </row>
    <row r="1687" spans="19:19">
      <c r="S1687" s="109"/>
    </row>
    <row r="1688" spans="19:19">
      <c r="S1688" s="109"/>
    </row>
    <row r="1689" spans="19:19">
      <c r="S1689" s="109"/>
    </row>
    <row r="1690" spans="19:19">
      <c r="S1690" s="109"/>
    </row>
    <row r="1691" spans="19:19">
      <c r="S1691" s="109"/>
    </row>
    <row r="1692" spans="19:19">
      <c r="S1692" s="109"/>
    </row>
    <row r="1693" spans="19:19">
      <c r="S1693" s="109"/>
    </row>
    <row r="1694" spans="19:19">
      <c r="S1694" s="109"/>
    </row>
    <row r="1695" spans="19:19">
      <c r="S1695" s="109"/>
    </row>
    <row r="1696" spans="19:19">
      <c r="S1696" s="109"/>
    </row>
    <row r="1697" spans="19:19">
      <c r="S1697" s="109"/>
    </row>
    <row r="1698" spans="19:19">
      <c r="S1698" s="109"/>
    </row>
    <row r="1699" spans="19:19">
      <c r="S1699" s="109"/>
    </row>
    <row r="1700" spans="19:19">
      <c r="S1700" s="109"/>
    </row>
    <row r="1701" spans="19:19">
      <c r="S1701" s="109"/>
    </row>
    <row r="1702" spans="19:19">
      <c r="S1702" s="109"/>
    </row>
    <row r="1703" spans="19:19">
      <c r="S1703" s="109"/>
    </row>
    <row r="1704" spans="19:19">
      <c r="S1704" s="109"/>
    </row>
    <row r="1705" spans="19:19">
      <c r="S1705" s="109"/>
    </row>
    <row r="1706" spans="19:19">
      <c r="S1706" s="109"/>
    </row>
    <row r="1707" spans="19:19">
      <c r="S1707" s="109"/>
    </row>
    <row r="1708" spans="19:19">
      <c r="S1708" s="109"/>
    </row>
    <row r="1709" spans="19:19">
      <c r="S1709" s="109"/>
    </row>
    <row r="1710" spans="19:19">
      <c r="S1710" s="109"/>
    </row>
    <row r="1711" spans="19:19">
      <c r="S1711" s="109"/>
    </row>
    <row r="1712" spans="19:19">
      <c r="S1712" s="109"/>
    </row>
    <row r="1713" spans="19:19">
      <c r="S1713" s="109"/>
    </row>
    <row r="1714" spans="19:19">
      <c r="S1714" s="109"/>
    </row>
    <row r="1715" spans="19:19">
      <c r="S1715" s="109"/>
    </row>
    <row r="1716" spans="19:19">
      <c r="S1716" s="109"/>
    </row>
    <row r="1717" spans="19:19">
      <c r="S1717" s="109"/>
    </row>
    <row r="1718" spans="19:19">
      <c r="S1718" s="109"/>
    </row>
    <row r="1719" spans="19:19">
      <c r="S1719" s="109"/>
    </row>
    <row r="1720" spans="19:19">
      <c r="S1720" s="109"/>
    </row>
    <row r="1721" spans="19:19">
      <c r="S1721" s="109"/>
    </row>
    <row r="1722" spans="19:19">
      <c r="S1722" s="109"/>
    </row>
    <row r="1723" spans="19:19">
      <c r="S1723" s="109"/>
    </row>
    <row r="1724" spans="19:19">
      <c r="S1724" s="109"/>
    </row>
    <row r="1725" spans="19:19">
      <c r="S1725" s="109"/>
    </row>
    <row r="1726" spans="19:19">
      <c r="S1726" s="109"/>
    </row>
    <row r="1727" spans="19:19">
      <c r="S1727" s="109"/>
    </row>
    <row r="1728" spans="19:19">
      <c r="S1728" s="109"/>
    </row>
    <row r="1729" spans="19:19">
      <c r="S1729" s="109"/>
    </row>
    <row r="1730" spans="19:19">
      <c r="S1730" s="109"/>
    </row>
    <row r="1731" spans="19:19">
      <c r="S1731" s="109"/>
    </row>
    <row r="1732" spans="19:19">
      <c r="S1732" s="109"/>
    </row>
    <row r="1733" spans="19:19">
      <c r="S1733" s="109"/>
    </row>
    <row r="1734" spans="19:19">
      <c r="S1734" s="109"/>
    </row>
    <row r="1735" spans="19:19">
      <c r="S1735" s="109"/>
    </row>
    <row r="1736" spans="19:19">
      <c r="S1736" s="109"/>
    </row>
    <row r="1737" spans="19:19">
      <c r="S1737" s="109"/>
    </row>
    <row r="1738" spans="19:19">
      <c r="S1738" s="109"/>
    </row>
    <row r="1739" spans="19:19">
      <c r="S1739" s="109"/>
    </row>
    <row r="1740" spans="19:19">
      <c r="S1740" s="109"/>
    </row>
    <row r="1741" spans="19:19">
      <c r="S1741" s="109"/>
    </row>
    <row r="1742" spans="19:19">
      <c r="S1742" s="109"/>
    </row>
    <row r="1743" spans="19:19">
      <c r="S1743" s="109"/>
    </row>
    <row r="1744" spans="19:19">
      <c r="S1744" s="109"/>
    </row>
    <row r="1745" spans="19:19">
      <c r="S1745" s="109"/>
    </row>
    <row r="1746" spans="19:19">
      <c r="S1746" s="109"/>
    </row>
    <row r="1747" spans="19:19">
      <c r="S1747" s="109"/>
    </row>
    <row r="1748" spans="19:19">
      <c r="S1748" s="109"/>
    </row>
    <row r="1749" spans="19:19">
      <c r="S1749" s="109"/>
    </row>
    <row r="1750" spans="19:19">
      <c r="S1750" s="109"/>
    </row>
    <row r="1751" spans="19:19">
      <c r="S1751" s="109"/>
    </row>
    <row r="1752" spans="19:19">
      <c r="S1752" s="109"/>
    </row>
    <row r="1753" spans="19:19">
      <c r="S1753" s="109"/>
    </row>
    <row r="1754" spans="19:19">
      <c r="S1754" s="109"/>
    </row>
    <row r="1755" spans="19:19">
      <c r="S1755" s="109"/>
    </row>
    <row r="1756" spans="19:19">
      <c r="S1756" s="109"/>
    </row>
    <row r="1757" spans="19:19">
      <c r="S1757" s="109"/>
    </row>
    <row r="1758" spans="19:19">
      <c r="S1758" s="109"/>
    </row>
    <row r="1759" spans="19:19">
      <c r="S1759" s="109"/>
    </row>
    <row r="1760" spans="19:19">
      <c r="S1760" s="109"/>
    </row>
    <row r="1761" spans="19:19">
      <c r="S1761" s="109"/>
    </row>
    <row r="1762" spans="19:19">
      <c r="S1762" s="109"/>
    </row>
    <row r="1763" spans="19:19">
      <c r="S1763" s="109"/>
    </row>
    <row r="1764" spans="19:19">
      <c r="S1764" s="109"/>
    </row>
    <row r="1765" spans="19:19">
      <c r="S1765" s="109"/>
    </row>
    <row r="1766" spans="19:19">
      <c r="S1766" s="109"/>
    </row>
    <row r="1767" spans="19:19">
      <c r="S1767" s="109"/>
    </row>
    <row r="1768" spans="19:19">
      <c r="S1768" s="109"/>
    </row>
    <row r="1769" spans="19:19">
      <c r="S1769" s="109"/>
    </row>
    <row r="1770" spans="19:19">
      <c r="S1770" s="109"/>
    </row>
    <row r="1771" spans="19:19">
      <c r="S1771" s="109"/>
    </row>
    <row r="1772" spans="19:19">
      <c r="S1772" s="109"/>
    </row>
    <row r="1773" spans="19:19">
      <c r="S1773" s="109"/>
    </row>
    <row r="1774" spans="19:19">
      <c r="S1774" s="109"/>
    </row>
    <row r="1775" spans="19:19">
      <c r="S1775" s="109"/>
    </row>
    <row r="1776" spans="19:19">
      <c r="S1776" s="109"/>
    </row>
    <row r="1777" spans="19:19">
      <c r="S1777" s="109"/>
    </row>
    <row r="1778" spans="19:19">
      <c r="S1778" s="109"/>
    </row>
    <row r="1779" spans="19:19">
      <c r="S1779" s="109"/>
    </row>
    <row r="1780" spans="19:19">
      <c r="S1780" s="109"/>
    </row>
    <row r="1781" spans="19:19">
      <c r="S1781" s="109"/>
    </row>
    <row r="1782" spans="19:19">
      <c r="S1782" s="109"/>
    </row>
    <row r="1783" spans="19:19">
      <c r="S1783" s="109"/>
    </row>
    <row r="1784" spans="19:19">
      <c r="S1784" s="109"/>
    </row>
    <row r="1785" spans="19:19">
      <c r="S1785" s="109"/>
    </row>
    <row r="1786" spans="19:19">
      <c r="S1786" s="109"/>
    </row>
    <row r="1787" spans="19:19">
      <c r="S1787" s="109"/>
    </row>
    <row r="1788" spans="19:19">
      <c r="S1788" s="109"/>
    </row>
    <row r="1789" spans="19:19">
      <c r="S1789" s="109"/>
    </row>
    <row r="1790" spans="19:19">
      <c r="S1790" s="109"/>
    </row>
    <row r="1791" spans="19:19">
      <c r="S1791" s="109"/>
    </row>
    <row r="1792" spans="19:19">
      <c r="S1792" s="109"/>
    </row>
    <row r="1793" spans="19:19">
      <c r="S1793" s="109"/>
    </row>
    <row r="1794" spans="19:19">
      <c r="S1794" s="109"/>
    </row>
    <row r="1795" spans="19:19">
      <c r="S1795" s="109"/>
    </row>
    <row r="1796" spans="19:19">
      <c r="S1796" s="109"/>
    </row>
    <row r="1797" spans="19:19">
      <c r="S1797" s="109"/>
    </row>
    <row r="1798" spans="19:19">
      <c r="S1798" s="109"/>
    </row>
    <row r="1799" spans="19:19">
      <c r="S1799" s="109"/>
    </row>
    <row r="1800" spans="19:19">
      <c r="S1800" s="109"/>
    </row>
    <row r="1801" spans="19:19">
      <c r="S1801" s="109"/>
    </row>
    <row r="1802" spans="19:19">
      <c r="S1802" s="109"/>
    </row>
    <row r="1803" spans="19:19">
      <c r="S1803" s="109"/>
    </row>
    <row r="1804" spans="19:19">
      <c r="S1804" s="109"/>
    </row>
    <row r="1805" spans="19:19">
      <c r="S1805" s="109"/>
    </row>
    <row r="1806" spans="19:19">
      <c r="S1806" s="109"/>
    </row>
    <row r="1807" spans="19:19">
      <c r="S1807" s="109"/>
    </row>
    <row r="1808" spans="19:19">
      <c r="S1808" s="109"/>
    </row>
    <row r="1809" spans="19:19">
      <c r="S1809" s="109"/>
    </row>
    <row r="1810" spans="19:19">
      <c r="S1810" s="109"/>
    </row>
    <row r="1811" spans="19:19">
      <c r="S1811" s="109"/>
    </row>
    <row r="1812" spans="19:19">
      <c r="S1812" s="109"/>
    </row>
    <row r="1813" spans="19:19">
      <c r="S1813" s="109"/>
    </row>
    <row r="1814" spans="19:19">
      <c r="S1814" s="109"/>
    </row>
    <row r="1815" spans="19:19">
      <c r="S1815" s="109"/>
    </row>
    <row r="1816" spans="19:19">
      <c r="S1816" s="109"/>
    </row>
    <row r="1817" spans="19:19">
      <c r="S1817" s="109"/>
    </row>
    <row r="1818" spans="19:19">
      <c r="S1818" s="109"/>
    </row>
    <row r="1819" spans="19:19">
      <c r="S1819" s="109"/>
    </row>
    <row r="1820" spans="19:19">
      <c r="S1820" s="109"/>
    </row>
    <row r="1821" spans="19:19">
      <c r="S1821" s="109"/>
    </row>
    <row r="1822" spans="19:19">
      <c r="S1822" s="109"/>
    </row>
    <row r="1823" spans="19:19">
      <c r="S1823" s="109"/>
    </row>
    <row r="1824" spans="19:19">
      <c r="S1824" s="109"/>
    </row>
    <row r="1825" spans="19:19">
      <c r="S1825" s="109"/>
    </row>
    <row r="1826" spans="19:19">
      <c r="S1826" s="109"/>
    </row>
    <row r="1827" spans="19:19">
      <c r="S1827" s="109"/>
    </row>
    <row r="1828" spans="19:19">
      <c r="S1828" s="109"/>
    </row>
    <row r="1829" spans="19:19">
      <c r="S1829" s="109"/>
    </row>
    <row r="1830" spans="19:19">
      <c r="S1830" s="109"/>
    </row>
    <row r="1831" spans="19:19">
      <c r="S1831" s="109"/>
    </row>
    <row r="1832" spans="19:19">
      <c r="S1832" s="109"/>
    </row>
    <row r="1833" spans="19:19">
      <c r="S1833" s="109"/>
    </row>
    <row r="1834" spans="19:19">
      <c r="S1834" s="109"/>
    </row>
    <row r="1835" spans="19:19">
      <c r="S1835" s="109"/>
    </row>
    <row r="1836" spans="19:19">
      <c r="S1836" s="109"/>
    </row>
    <row r="1837" spans="19:19">
      <c r="S1837" s="109"/>
    </row>
    <row r="1838" spans="19:19">
      <c r="S1838" s="109"/>
    </row>
    <row r="1839" spans="19:19">
      <c r="S1839" s="109"/>
    </row>
    <row r="1840" spans="19:19">
      <c r="S1840" s="109"/>
    </row>
    <row r="1841" spans="19:19">
      <c r="S1841" s="109"/>
    </row>
    <row r="1842" spans="19:19">
      <c r="S1842" s="109"/>
    </row>
    <row r="1843" spans="19:19">
      <c r="S1843" s="109"/>
    </row>
    <row r="1844" spans="19:19">
      <c r="S1844" s="109"/>
    </row>
    <row r="1845" spans="19:19">
      <c r="S1845" s="109"/>
    </row>
    <row r="1846" spans="19:19">
      <c r="S1846" s="109"/>
    </row>
    <row r="1847" spans="19:19">
      <c r="S1847" s="109"/>
    </row>
    <row r="1848" spans="19:19">
      <c r="S1848" s="109"/>
    </row>
    <row r="1849" spans="19:19">
      <c r="S1849" s="109"/>
    </row>
    <row r="1850" spans="19:19">
      <c r="S1850" s="109"/>
    </row>
    <row r="1851" spans="19:19">
      <c r="S1851" s="109"/>
    </row>
    <row r="1852" spans="19:19">
      <c r="S1852" s="109"/>
    </row>
    <row r="1853" spans="19:19">
      <c r="S1853" s="109"/>
    </row>
    <row r="1854" spans="19:19">
      <c r="S1854" s="109"/>
    </row>
    <row r="1855" spans="19:19">
      <c r="S1855" s="109"/>
    </row>
    <row r="1856" spans="19:19">
      <c r="S1856" s="109"/>
    </row>
    <row r="1857" spans="19:19">
      <c r="S1857" s="109"/>
    </row>
    <row r="1858" spans="19:19">
      <c r="S1858" s="109"/>
    </row>
    <row r="1859" spans="19:19">
      <c r="S1859" s="109"/>
    </row>
    <row r="1860" spans="19:19">
      <c r="S1860" s="109"/>
    </row>
    <row r="1861" spans="19:19">
      <c r="S1861" s="109"/>
    </row>
    <row r="1862" spans="19:19">
      <c r="S1862" s="109"/>
    </row>
    <row r="1863" spans="19:19">
      <c r="S1863" s="109"/>
    </row>
    <row r="1864" spans="19:19">
      <c r="S1864" s="109"/>
    </row>
    <row r="1865" spans="19:19">
      <c r="S1865" s="109"/>
    </row>
    <row r="1866" spans="19:19">
      <c r="S1866" s="109"/>
    </row>
    <row r="1867" spans="19:19">
      <c r="S1867" s="109"/>
    </row>
    <row r="1868" spans="19:19">
      <c r="S1868" s="109"/>
    </row>
    <row r="1869" spans="19:19">
      <c r="S1869" s="109"/>
    </row>
    <row r="1870" spans="19:19">
      <c r="S1870" s="109"/>
    </row>
    <row r="1871" spans="19:19">
      <c r="S1871" s="109"/>
    </row>
    <row r="1872" spans="19:19">
      <c r="S1872" s="109"/>
    </row>
    <row r="1873" spans="19:19">
      <c r="S1873" s="109"/>
    </row>
    <row r="1874" spans="19:19">
      <c r="S1874" s="109"/>
    </row>
    <row r="1875" spans="19:19">
      <c r="S1875" s="109"/>
    </row>
    <row r="1876" spans="19:19">
      <c r="S1876" s="109"/>
    </row>
    <row r="1877" spans="19:19">
      <c r="S1877" s="109"/>
    </row>
    <row r="1878" spans="19:19">
      <c r="S1878" s="109"/>
    </row>
    <row r="1879" spans="19:19">
      <c r="S1879" s="109"/>
    </row>
    <row r="1880" spans="19:19">
      <c r="S1880" s="109"/>
    </row>
    <row r="1881" spans="19:19">
      <c r="S1881" s="109"/>
    </row>
    <row r="1882" spans="19:19">
      <c r="S1882" s="109"/>
    </row>
    <row r="1883" spans="19:19">
      <c r="S1883" s="109"/>
    </row>
    <row r="1884" spans="19:19">
      <c r="S1884" s="109"/>
    </row>
    <row r="1885" spans="19:19">
      <c r="S1885" s="109"/>
    </row>
    <row r="1886" spans="19:19">
      <c r="S1886" s="109"/>
    </row>
    <row r="1887" spans="19:19">
      <c r="S1887" s="109"/>
    </row>
    <row r="1888" spans="19:19">
      <c r="S1888" s="109"/>
    </row>
    <row r="1889" spans="19:19">
      <c r="S1889" s="109"/>
    </row>
    <row r="1890" spans="19:19">
      <c r="S1890" s="109"/>
    </row>
    <row r="1891" spans="19:19">
      <c r="S1891" s="109"/>
    </row>
    <row r="1892" spans="19:19">
      <c r="S1892" s="109"/>
    </row>
    <row r="1893" spans="19:19">
      <c r="S1893" s="109"/>
    </row>
    <row r="1894" spans="19:19">
      <c r="S1894" s="109"/>
    </row>
    <row r="1895" spans="19:19">
      <c r="S1895" s="109"/>
    </row>
    <row r="1896" spans="19:19">
      <c r="S1896" s="109"/>
    </row>
    <row r="1897" spans="19:19">
      <c r="S1897" s="109"/>
    </row>
    <row r="1898" spans="19:19">
      <c r="S1898" s="109"/>
    </row>
    <row r="1899" spans="19:19">
      <c r="S1899" s="109"/>
    </row>
    <row r="1900" spans="19:19">
      <c r="S1900" s="109"/>
    </row>
    <row r="1901" spans="19:19">
      <c r="S1901" s="109"/>
    </row>
    <row r="1902" spans="19:19">
      <c r="S1902" s="109"/>
    </row>
    <row r="1903" spans="19:19">
      <c r="S1903" s="109"/>
    </row>
    <row r="1904" spans="19:19">
      <c r="S1904" s="109"/>
    </row>
    <row r="1905" spans="19:19">
      <c r="S1905" s="109"/>
    </row>
    <row r="1906" spans="19:19">
      <c r="S1906" s="109"/>
    </row>
    <row r="1907" spans="19:19">
      <c r="S1907" s="109"/>
    </row>
    <row r="1908" spans="19:19">
      <c r="S1908" s="109"/>
    </row>
    <row r="1909" spans="19:19">
      <c r="S1909" s="109"/>
    </row>
    <row r="1910" spans="19:19">
      <c r="S1910" s="109"/>
    </row>
    <row r="1911" spans="19:19">
      <c r="S1911" s="109"/>
    </row>
    <row r="1912" spans="19:19">
      <c r="S1912" s="109"/>
    </row>
    <row r="1913" spans="19:19">
      <c r="S1913" s="109"/>
    </row>
    <row r="1914" spans="19:19">
      <c r="S1914" s="109"/>
    </row>
    <row r="1915" spans="19:19">
      <c r="S1915" s="109"/>
    </row>
    <row r="1916" spans="19:19">
      <c r="S1916" s="109"/>
    </row>
    <row r="1917" spans="19:19">
      <c r="S1917" s="109"/>
    </row>
    <row r="1918" spans="19:19">
      <c r="S1918" s="109"/>
    </row>
    <row r="1919" spans="19:19">
      <c r="S1919" s="109"/>
    </row>
    <row r="1920" spans="19:19">
      <c r="S1920" s="109"/>
    </row>
    <row r="1921" spans="19:19">
      <c r="S1921" s="109"/>
    </row>
    <row r="1922" spans="19:19">
      <c r="S1922" s="109"/>
    </row>
    <row r="1923" spans="19:19">
      <c r="S1923" s="109"/>
    </row>
    <row r="1924" spans="19:19">
      <c r="S1924" s="109"/>
    </row>
    <row r="1925" spans="19:19">
      <c r="S1925" s="109"/>
    </row>
    <row r="1926" spans="19:19">
      <c r="S1926" s="109"/>
    </row>
    <row r="1927" spans="19:19">
      <c r="S1927" s="109"/>
    </row>
    <row r="1928" spans="19:19">
      <c r="S1928" s="109"/>
    </row>
    <row r="1929" spans="19:19">
      <c r="S1929" s="109"/>
    </row>
    <row r="1930" spans="19:19">
      <c r="S1930" s="109"/>
    </row>
    <row r="1931" spans="19:19">
      <c r="S1931" s="109"/>
    </row>
    <row r="1932" spans="19:19">
      <c r="S1932" s="109"/>
    </row>
    <row r="1933" spans="19:19">
      <c r="S1933" s="109"/>
    </row>
    <row r="1934" spans="19:19">
      <c r="S1934" s="109"/>
    </row>
    <row r="1935" spans="19:19">
      <c r="S1935" s="109"/>
    </row>
    <row r="1936" spans="19:19">
      <c r="S1936" s="109"/>
    </row>
    <row r="1937" spans="19:19">
      <c r="S1937" s="109"/>
    </row>
    <row r="1938" spans="19:19">
      <c r="S1938" s="109"/>
    </row>
    <row r="1939" spans="19:19">
      <c r="S1939" s="109"/>
    </row>
    <row r="1940" spans="19:19">
      <c r="S1940" s="109"/>
    </row>
    <row r="1941" spans="19:19">
      <c r="S1941" s="109"/>
    </row>
    <row r="1942" spans="19:19">
      <c r="S1942" s="109"/>
    </row>
    <row r="1943" spans="19:19">
      <c r="S1943" s="109"/>
    </row>
    <row r="1944" spans="19:19">
      <c r="S1944" s="109"/>
    </row>
    <row r="1945" spans="19:19">
      <c r="S1945" s="109"/>
    </row>
    <row r="1946" spans="19:19">
      <c r="S1946" s="109"/>
    </row>
    <row r="1947" spans="19:19">
      <c r="S1947" s="109"/>
    </row>
    <row r="1948" spans="19:19">
      <c r="S1948" s="109"/>
    </row>
    <row r="1949" spans="19:19">
      <c r="S1949" s="109"/>
    </row>
    <row r="1950" spans="19:19">
      <c r="S1950" s="109"/>
    </row>
    <row r="1951" spans="19:19">
      <c r="S1951" s="109"/>
    </row>
    <row r="1952" spans="19:19">
      <c r="S1952" s="109"/>
    </row>
    <row r="1953" spans="19:19">
      <c r="S1953" s="109"/>
    </row>
    <row r="1954" spans="19:19">
      <c r="S1954" s="109"/>
    </row>
    <row r="1955" spans="19:19">
      <c r="S1955" s="109"/>
    </row>
    <row r="1956" spans="19:19">
      <c r="S1956" s="109"/>
    </row>
    <row r="1957" spans="19:19">
      <c r="S1957" s="109"/>
    </row>
    <row r="1958" spans="19:19">
      <c r="S1958" s="109"/>
    </row>
    <row r="1959" spans="19:19">
      <c r="S1959" s="109"/>
    </row>
    <row r="1960" spans="19:19">
      <c r="S1960" s="109"/>
    </row>
    <row r="1961" spans="19:19">
      <c r="S1961" s="109"/>
    </row>
    <row r="1962" spans="19:19">
      <c r="S1962" s="109"/>
    </row>
    <row r="1963" spans="19:19">
      <c r="S1963" s="109"/>
    </row>
    <row r="1964" spans="19:19">
      <c r="S1964" s="109"/>
    </row>
    <row r="1965" spans="19:19">
      <c r="S1965" s="109"/>
    </row>
    <row r="1966" spans="19:19">
      <c r="S1966" s="109"/>
    </row>
    <row r="1967" spans="19:19">
      <c r="S1967" s="109"/>
    </row>
    <row r="1968" spans="19:19">
      <c r="S1968" s="109"/>
    </row>
    <row r="1969" spans="19:19">
      <c r="S1969" s="109"/>
    </row>
    <row r="1970" spans="19:19">
      <c r="S1970" s="109"/>
    </row>
    <row r="1971" spans="19:19">
      <c r="S1971" s="109"/>
    </row>
    <row r="1972" spans="19:19">
      <c r="S1972" s="109"/>
    </row>
    <row r="1973" spans="19:19">
      <c r="S1973" s="109"/>
    </row>
    <row r="1974" spans="19:19">
      <c r="S1974" s="109"/>
    </row>
    <row r="1975" spans="19:19">
      <c r="S1975" s="109"/>
    </row>
    <row r="1976" spans="19:19">
      <c r="S1976" s="109"/>
    </row>
    <row r="1977" spans="19:19">
      <c r="S1977" s="109"/>
    </row>
    <row r="1978" spans="19:19">
      <c r="S1978" s="109"/>
    </row>
    <row r="1979" spans="19:19">
      <c r="S1979" s="109"/>
    </row>
    <row r="1980" spans="19:19">
      <c r="S1980" s="109"/>
    </row>
    <row r="1981" spans="19:19">
      <c r="S1981" s="109"/>
    </row>
    <row r="1982" spans="19:19">
      <c r="S1982" s="109"/>
    </row>
    <row r="1983" spans="19:19">
      <c r="S1983" s="109"/>
    </row>
    <row r="1984" spans="19:19">
      <c r="S1984" s="109"/>
    </row>
    <row r="1985" spans="19:19">
      <c r="S1985" s="109"/>
    </row>
    <row r="1986" spans="19:19">
      <c r="S1986" s="109"/>
    </row>
    <row r="1987" spans="19:19">
      <c r="S1987" s="109"/>
    </row>
    <row r="1988" spans="19:19">
      <c r="S1988" s="109"/>
    </row>
    <row r="1989" spans="19:19">
      <c r="S1989" s="109"/>
    </row>
    <row r="1990" spans="19:19">
      <c r="S1990" s="109"/>
    </row>
    <row r="1991" spans="19:19">
      <c r="S1991" s="109"/>
    </row>
    <row r="1992" spans="19:19">
      <c r="S1992" s="109"/>
    </row>
    <row r="1993" spans="19:19">
      <c r="S1993" s="109"/>
    </row>
    <row r="1994" spans="19:19">
      <c r="S1994" s="109"/>
    </row>
    <row r="1995" spans="19:19">
      <c r="S1995" s="109"/>
    </row>
    <row r="1996" spans="19:19">
      <c r="S1996" s="109"/>
    </row>
    <row r="1997" spans="19:19">
      <c r="S1997" s="109"/>
    </row>
    <row r="1998" spans="19:19">
      <c r="S1998" s="109"/>
    </row>
    <row r="1999" spans="19:19">
      <c r="S1999" s="109"/>
    </row>
    <row r="2000" spans="19:19">
      <c r="S2000" s="109"/>
    </row>
    <row r="2001" spans="19:19">
      <c r="S2001" s="109"/>
    </row>
    <row r="2002" spans="19:19">
      <c r="S2002" s="109"/>
    </row>
    <row r="2003" spans="19:19">
      <c r="S2003" s="109"/>
    </row>
    <row r="2004" spans="19:19">
      <c r="S2004" s="109"/>
    </row>
    <row r="2005" spans="19:19">
      <c r="S2005" s="109"/>
    </row>
    <row r="2006" spans="19:19">
      <c r="S2006" s="109"/>
    </row>
    <row r="2007" spans="19:19">
      <c r="S2007" s="109"/>
    </row>
    <row r="2008" spans="19:19">
      <c r="S2008" s="109"/>
    </row>
    <row r="2009" spans="19:19">
      <c r="S2009" s="109"/>
    </row>
    <row r="2010" spans="19:19">
      <c r="S2010" s="109"/>
    </row>
    <row r="2011" spans="19:19">
      <c r="S2011" s="109"/>
    </row>
    <row r="2012" spans="19:19">
      <c r="S2012" s="109"/>
    </row>
    <row r="2013" spans="19:19">
      <c r="S2013" s="109"/>
    </row>
    <row r="2014" spans="19:19">
      <c r="S2014" s="109"/>
    </row>
    <row r="2015" spans="19:19">
      <c r="S2015" s="109"/>
    </row>
    <row r="2016" spans="19:19">
      <c r="S2016" s="109"/>
    </row>
    <row r="2017" spans="19:19">
      <c r="S2017" s="109"/>
    </row>
    <row r="2018" spans="19:19">
      <c r="S2018" s="109"/>
    </row>
    <row r="2019" spans="19:19">
      <c r="S2019" s="109"/>
    </row>
    <row r="2020" spans="19:19">
      <c r="S2020" s="109"/>
    </row>
    <row r="2021" spans="19:19">
      <c r="S2021" s="109"/>
    </row>
    <row r="2022" spans="19:19">
      <c r="S2022" s="109"/>
    </row>
    <row r="2023" spans="19:19">
      <c r="S2023" s="109"/>
    </row>
    <row r="2024" spans="19:19">
      <c r="S2024" s="109"/>
    </row>
    <row r="2025" spans="19:19">
      <c r="S2025" s="109"/>
    </row>
    <row r="2026" spans="19:19">
      <c r="S2026" s="109"/>
    </row>
    <row r="2027" spans="19:19">
      <c r="S2027" s="109"/>
    </row>
    <row r="2028" spans="19:19">
      <c r="S2028" s="109"/>
    </row>
    <row r="2029" spans="19:19">
      <c r="S2029" s="109"/>
    </row>
    <row r="2030" spans="19:19">
      <c r="S2030" s="109"/>
    </row>
    <row r="2031" spans="19:19">
      <c r="S2031" s="109"/>
    </row>
    <row r="2032" spans="19:19">
      <c r="S2032" s="109"/>
    </row>
    <row r="2033" spans="19:19">
      <c r="S2033" s="109"/>
    </row>
    <row r="2034" spans="19:19">
      <c r="S2034" s="109"/>
    </row>
    <row r="2035" spans="19:19">
      <c r="S2035" s="109"/>
    </row>
    <row r="2036" spans="19:19">
      <c r="S2036" s="109"/>
    </row>
    <row r="2037" spans="19:19">
      <c r="S2037" s="109"/>
    </row>
    <row r="2038" spans="19:19">
      <c r="S2038" s="109"/>
    </row>
    <row r="2039" spans="19:19">
      <c r="S2039" s="109"/>
    </row>
    <row r="2040" spans="19:19">
      <c r="S2040" s="109"/>
    </row>
    <row r="2041" spans="19:19">
      <c r="S2041" s="109"/>
    </row>
    <row r="2042" spans="19:19">
      <c r="S2042" s="109"/>
    </row>
    <row r="2043" spans="19:19">
      <c r="S2043" s="109"/>
    </row>
    <row r="2044" spans="19:19">
      <c r="S2044" s="109"/>
    </row>
    <row r="2045" spans="19:19">
      <c r="S2045" s="109"/>
    </row>
    <row r="2046" spans="19:19">
      <c r="S2046" s="109"/>
    </row>
    <row r="2047" spans="19:19">
      <c r="S2047" s="109"/>
    </row>
    <row r="2048" spans="19:19">
      <c r="S2048" s="109"/>
    </row>
    <row r="2049" spans="19:19">
      <c r="S2049" s="109"/>
    </row>
    <row r="2050" spans="19:19">
      <c r="S2050" s="109"/>
    </row>
    <row r="2051" spans="19:19">
      <c r="S2051" s="109"/>
    </row>
    <row r="2052" spans="19:19">
      <c r="S2052" s="109"/>
    </row>
    <row r="2053" spans="19:19">
      <c r="S2053" s="109"/>
    </row>
    <row r="2054" spans="19:19">
      <c r="S2054" s="109"/>
    </row>
    <row r="2055" spans="19:19">
      <c r="S2055" s="109"/>
    </row>
    <row r="2056" spans="19:19">
      <c r="S2056" s="109"/>
    </row>
    <row r="2057" spans="19:19">
      <c r="S2057" s="109"/>
    </row>
    <row r="2058" spans="19:19">
      <c r="S2058" s="109"/>
    </row>
    <row r="2059" spans="19:19">
      <c r="S2059" s="109"/>
    </row>
    <row r="2060" spans="19:19">
      <c r="S2060" s="109"/>
    </row>
    <row r="2061" spans="19:19">
      <c r="S2061" s="109"/>
    </row>
    <row r="2062" spans="19:19">
      <c r="S2062" s="109"/>
    </row>
    <row r="2063" spans="19:19">
      <c r="S2063" s="109"/>
    </row>
    <row r="2064" spans="19:19">
      <c r="S2064" s="109"/>
    </row>
    <row r="2065" spans="19:19">
      <c r="S2065" s="109"/>
    </row>
    <row r="2066" spans="19:19">
      <c r="S2066" s="109"/>
    </row>
    <row r="2067" spans="19:19">
      <c r="S2067" s="109"/>
    </row>
    <row r="2068" spans="19:19">
      <c r="S2068" s="109"/>
    </row>
    <row r="2069" spans="19:19">
      <c r="S2069" s="109"/>
    </row>
    <row r="2070" spans="19:19">
      <c r="S2070" s="109"/>
    </row>
    <row r="2071" spans="19:19">
      <c r="S2071" s="109"/>
    </row>
    <row r="2072" spans="19:19">
      <c r="S2072" s="109"/>
    </row>
    <row r="2073" spans="19:19">
      <c r="S2073" s="109"/>
    </row>
    <row r="2074" spans="19:19">
      <c r="S2074" s="109"/>
    </row>
    <row r="2075" spans="19:19">
      <c r="S2075" s="109"/>
    </row>
    <row r="2076" spans="19:19">
      <c r="S2076" s="109"/>
    </row>
    <row r="2077" spans="19:19">
      <c r="S2077" s="109"/>
    </row>
    <row r="2078" spans="19:19">
      <c r="S2078" s="109"/>
    </row>
    <row r="2079" spans="19:19">
      <c r="S2079" s="109"/>
    </row>
    <row r="2080" spans="19:19">
      <c r="S2080" s="109"/>
    </row>
    <row r="2081" spans="19:19">
      <c r="S2081" s="109"/>
    </row>
    <row r="2082" spans="19:19">
      <c r="S2082" s="109"/>
    </row>
    <row r="2083" spans="19:19">
      <c r="S2083" s="109"/>
    </row>
    <row r="2084" spans="19:19">
      <c r="S2084" s="109"/>
    </row>
    <row r="2085" spans="19:19">
      <c r="S2085" s="109"/>
    </row>
    <row r="2086" spans="19:19">
      <c r="S2086" s="109"/>
    </row>
    <row r="2087" spans="19:19">
      <c r="S2087" s="109"/>
    </row>
    <row r="2088" spans="19:19">
      <c r="S2088" s="109"/>
    </row>
    <row r="2089" spans="19:19">
      <c r="S2089" s="109"/>
    </row>
    <row r="2090" spans="19:19">
      <c r="S2090" s="109"/>
    </row>
    <row r="2091" spans="19:19">
      <c r="S2091" s="109"/>
    </row>
    <row r="2092" spans="19:19">
      <c r="S2092" s="109"/>
    </row>
    <row r="2093" spans="19:19">
      <c r="S2093" s="109"/>
    </row>
    <row r="2094" spans="19:19">
      <c r="S2094" s="109"/>
    </row>
    <row r="2095" spans="19:19">
      <c r="S2095" s="109"/>
    </row>
    <row r="2096" spans="19:19">
      <c r="S2096" s="109"/>
    </row>
    <row r="2097" spans="19:19">
      <c r="S2097" s="109"/>
    </row>
    <row r="2098" spans="19:19">
      <c r="S2098" s="109"/>
    </row>
    <row r="2099" spans="19:19">
      <c r="S2099" s="109"/>
    </row>
    <row r="2100" spans="19:19">
      <c r="S2100" s="109"/>
    </row>
    <row r="2101" spans="19:19">
      <c r="S2101" s="109"/>
    </row>
    <row r="2102" spans="19:19">
      <c r="S2102" s="109"/>
    </row>
    <row r="2103" spans="19:19">
      <c r="S2103" s="109"/>
    </row>
    <row r="2104" spans="19:19">
      <c r="S2104" s="109"/>
    </row>
    <row r="2105" spans="19:19">
      <c r="S2105" s="109"/>
    </row>
    <row r="2106" spans="19:19">
      <c r="S2106" s="109"/>
    </row>
    <row r="2107" spans="19:19">
      <c r="S2107" s="109"/>
    </row>
    <row r="2108" spans="19:19">
      <c r="S2108" s="109"/>
    </row>
    <row r="2109" spans="19:19">
      <c r="S2109" s="109"/>
    </row>
    <row r="2110" spans="19:19">
      <c r="S2110" s="109"/>
    </row>
    <row r="2111" spans="19:19">
      <c r="S2111" s="109"/>
    </row>
    <row r="2112" spans="19:19">
      <c r="S2112" s="109"/>
    </row>
    <row r="2113" spans="19:19">
      <c r="S2113" s="109"/>
    </row>
    <row r="2114" spans="19:19">
      <c r="S2114" s="109"/>
    </row>
    <row r="2115" spans="19:19">
      <c r="S2115" s="109"/>
    </row>
    <row r="2116" spans="19:19">
      <c r="S2116" s="109"/>
    </row>
    <row r="2117" spans="19:19">
      <c r="S2117" s="109"/>
    </row>
    <row r="2118" spans="19:19">
      <c r="S2118" s="109"/>
    </row>
    <row r="2119" spans="19:19">
      <c r="S2119" s="109"/>
    </row>
    <row r="2120" spans="19:19">
      <c r="S2120" s="109"/>
    </row>
    <row r="2121" spans="19:19">
      <c r="S2121" s="109"/>
    </row>
    <row r="2122" spans="19:19">
      <c r="S2122" s="109"/>
    </row>
    <row r="2123" spans="19:19">
      <c r="S2123" s="109"/>
    </row>
    <row r="2124" spans="19:19">
      <c r="S2124" s="109"/>
    </row>
    <row r="2125" spans="19:19">
      <c r="S2125" s="109"/>
    </row>
    <row r="2126" spans="19:19">
      <c r="S2126" s="109"/>
    </row>
    <row r="2127" spans="19:19">
      <c r="S2127" s="109"/>
    </row>
    <row r="2128" spans="19:19">
      <c r="S2128" s="109"/>
    </row>
    <row r="2129" spans="19:19">
      <c r="S2129" s="109"/>
    </row>
    <row r="2130" spans="19:19">
      <c r="S2130" s="109"/>
    </row>
    <row r="2131" spans="19:19">
      <c r="S2131" s="109"/>
    </row>
    <row r="2132" spans="19:19">
      <c r="S2132" s="109"/>
    </row>
    <row r="2133" spans="19:19">
      <c r="S2133" s="109"/>
    </row>
    <row r="2134" spans="19:19">
      <c r="S2134" s="109"/>
    </row>
    <row r="2135" spans="19:19">
      <c r="S2135" s="109"/>
    </row>
    <row r="2136" spans="19:19">
      <c r="S2136" s="109"/>
    </row>
    <row r="2137" spans="19:19">
      <c r="S2137" s="109"/>
    </row>
    <row r="2138" spans="19:19">
      <c r="S2138" s="109"/>
    </row>
    <row r="2139" spans="19:19">
      <c r="S2139" s="109"/>
    </row>
    <row r="2140" spans="19:19">
      <c r="S2140" s="109"/>
    </row>
    <row r="2141" spans="19:19">
      <c r="S2141" s="109"/>
    </row>
    <row r="2142" spans="19:19">
      <c r="S2142" s="109"/>
    </row>
    <row r="2143" spans="19:19">
      <c r="S2143" s="109"/>
    </row>
    <row r="2144" spans="19:19">
      <c r="S2144" s="109"/>
    </row>
    <row r="2145" spans="19:19">
      <c r="S2145" s="109"/>
    </row>
    <row r="2146" spans="19:19">
      <c r="S2146" s="109"/>
    </row>
    <row r="2147" spans="19:19">
      <c r="S2147" s="109"/>
    </row>
    <row r="2148" spans="19:19">
      <c r="S2148" s="109"/>
    </row>
    <row r="2149" spans="19:19">
      <c r="S2149" s="109"/>
    </row>
    <row r="2150" spans="19:19">
      <c r="S2150" s="109"/>
    </row>
    <row r="2151" spans="19:19">
      <c r="S2151" s="109"/>
    </row>
    <row r="2152" spans="19:19">
      <c r="S2152" s="109"/>
    </row>
    <row r="2153" spans="19:19">
      <c r="S2153" s="109"/>
    </row>
    <row r="2154" spans="19:19">
      <c r="S2154" s="109"/>
    </row>
    <row r="2155" spans="19:19">
      <c r="S2155" s="109"/>
    </row>
    <row r="2156" spans="19:19">
      <c r="S2156" s="109"/>
    </row>
    <row r="2157" spans="19:19">
      <c r="S2157" s="109"/>
    </row>
    <row r="2158" spans="19:19">
      <c r="S2158" s="109"/>
    </row>
    <row r="2159" spans="19:19">
      <c r="S2159" s="109"/>
    </row>
    <row r="2160" spans="19:19">
      <c r="S2160" s="109"/>
    </row>
    <row r="2161" spans="19:19">
      <c r="S2161" s="109"/>
    </row>
    <row r="2162" spans="19:19">
      <c r="S2162" s="109"/>
    </row>
    <row r="2163" spans="19:19">
      <c r="S2163" s="109"/>
    </row>
    <row r="2164" spans="19:19">
      <c r="S2164" s="109"/>
    </row>
    <row r="2165" spans="19:19">
      <c r="S2165" s="109"/>
    </row>
    <row r="2166" spans="19:19">
      <c r="S2166" s="109"/>
    </row>
    <row r="2167" spans="19:19">
      <c r="S2167" s="109"/>
    </row>
    <row r="2168" spans="19:19">
      <c r="S2168" s="109"/>
    </row>
    <row r="2169" spans="19:19">
      <c r="S2169" s="109"/>
    </row>
    <row r="2170" spans="19:19">
      <c r="S2170" s="109"/>
    </row>
    <row r="2171" spans="19:19">
      <c r="S2171" s="109"/>
    </row>
    <row r="2172" spans="19:19">
      <c r="S2172" s="109"/>
    </row>
    <row r="2173" spans="19:19">
      <c r="S2173" s="109"/>
    </row>
    <row r="2174" spans="19:19">
      <c r="S2174" s="109"/>
    </row>
    <row r="2175" spans="19:19">
      <c r="S2175" s="109"/>
    </row>
    <row r="2176" spans="19:19">
      <c r="S2176" s="109"/>
    </row>
    <row r="2177" spans="19:19">
      <c r="S2177" s="109"/>
    </row>
    <row r="2178" spans="19:19">
      <c r="S2178" s="109"/>
    </row>
    <row r="2179" spans="19:19">
      <c r="S2179" s="109"/>
    </row>
    <row r="2180" spans="19:19">
      <c r="S2180" s="109"/>
    </row>
    <row r="2181" spans="19:19">
      <c r="S2181" s="109"/>
    </row>
    <row r="2182" spans="19:19">
      <c r="S2182" s="109"/>
    </row>
    <row r="2183" spans="19:19">
      <c r="S2183" s="109"/>
    </row>
    <row r="2184" spans="19:19">
      <c r="S2184" s="109"/>
    </row>
    <row r="2185" spans="19:19">
      <c r="S2185" s="109"/>
    </row>
    <row r="2186" spans="19:19">
      <c r="S2186" s="109"/>
    </row>
    <row r="2187" spans="19:19">
      <c r="S2187" s="109"/>
    </row>
    <row r="2188" spans="19:19">
      <c r="S2188" s="109"/>
    </row>
    <row r="2189" spans="19:19">
      <c r="S2189" s="109"/>
    </row>
    <row r="2190" spans="19:19">
      <c r="S2190" s="109"/>
    </row>
    <row r="2191" spans="19:19">
      <c r="S2191" s="109"/>
    </row>
    <row r="2192" spans="19:19">
      <c r="S2192" s="109"/>
    </row>
    <row r="2193" spans="19:19">
      <c r="S2193" s="109"/>
    </row>
    <row r="2194" spans="19:19">
      <c r="S2194" s="109"/>
    </row>
    <row r="2195" spans="19:19">
      <c r="S2195" s="109"/>
    </row>
    <row r="2196" spans="19:19">
      <c r="S2196" s="109"/>
    </row>
    <row r="2197" spans="19:19">
      <c r="S2197" s="109"/>
    </row>
    <row r="2198" spans="19:19">
      <c r="S2198" s="109"/>
    </row>
    <row r="2199" spans="19:19">
      <c r="S2199" s="109"/>
    </row>
    <row r="2200" spans="19:19">
      <c r="S2200" s="109"/>
    </row>
    <row r="2201" spans="19:19">
      <c r="S2201" s="109"/>
    </row>
    <row r="2202" spans="19:19">
      <c r="S2202" s="109"/>
    </row>
    <row r="2203" spans="19:19">
      <c r="S2203" s="109"/>
    </row>
    <row r="2204" spans="19:19">
      <c r="S2204" s="109"/>
    </row>
    <row r="2205" spans="19:19">
      <c r="S2205" s="109"/>
    </row>
    <row r="2206" spans="19:19">
      <c r="S2206" s="109"/>
    </row>
    <row r="2207" spans="19:19">
      <c r="S2207" s="109"/>
    </row>
    <row r="2208" spans="19:19">
      <c r="S2208" s="109"/>
    </row>
    <row r="2209" spans="19:19">
      <c r="S2209" s="109"/>
    </row>
    <row r="2210" spans="19:19">
      <c r="S2210" s="109"/>
    </row>
    <row r="2211" spans="19:19">
      <c r="S2211" s="109"/>
    </row>
    <row r="2212" spans="19:19">
      <c r="S2212" s="109"/>
    </row>
    <row r="2213" spans="19:19">
      <c r="S2213" s="109"/>
    </row>
    <row r="2214" spans="19:19">
      <c r="S2214" s="109"/>
    </row>
    <row r="2215" spans="19:19">
      <c r="S2215" s="109"/>
    </row>
    <row r="2216" spans="19:19">
      <c r="S2216" s="109"/>
    </row>
    <row r="2217" spans="19:19">
      <c r="S2217" s="109"/>
    </row>
    <row r="2218" spans="19:19">
      <c r="S2218" s="109"/>
    </row>
    <row r="2219" spans="19:19">
      <c r="S2219" s="109"/>
    </row>
    <row r="2220" spans="19:19">
      <c r="S2220" s="109"/>
    </row>
    <row r="2221" spans="19:19">
      <c r="S2221" s="109"/>
    </row>
    <row r="2222" spans="19:19">
      <c r="S2222" s="109"/>
    </row>
    <row r="2223" spans="19:19">
      <c r="S2223" s="109"/>
    </row>
    <row r="2224" spans="19:19">
      <c r="S2224" s="109"/>
    </row>
    <row r="2225" spans="19:19">
      <c r="S2225" s="109"/>
    </row>
    <row r="2226" spans="19:19">
      <c r="S2226" s="109"/>
    </row>
    <row r="2227" spans="19:19">
      <c r="S2227" s="109"/>
    </row>
    <row r="2228" spans="19:19">
      <c r="S2228" s="109"/>
    </row>
    <row r="2229" spans="19:19">
      <c r="S2229" s="109"/>
    </row>
    <row r="2230" spans="19:19">
      <c r="S2230" s="109"/>
    </row>
    <row r="2231" spans="19:19">
      <c r="S2231" s="109"/>
    </row>
    <row r="2232" spans="19:19">
      <c r="S2232" s="109"/>
    </row>
    <row r="2233" spans="19:19">
      <c r="S2233" s="109"/>
    </row>
    <row r="2234" spans="19:19">
      <c r="S2234" s="109"/>
    </row>
    <row r="2235" spans="19:19">
      <c r="S2235" s="109"/>
    </row>
    <row r="2236" spans="19:19">
      <c r="S2236" s="109"/>
    </row>
    <row r="2237" spans="19:19">
      <c r="S2237" s="109"/>
    </row>
    <row r="2238" spans="19:19">
      <c r="S2238" s="109"/>
    </row>
    <row r="2239" spans="19:19">
      <c r="S2239" s="109"/>
    </row>
    <row r="2240" spans="19:19">
      <c r="S2240" s="109"/>
    </row>
    <row r="2241" spans="19:19">
      <c r="S2241" s="109"/>
    </row>
    <row r="2242" spans="19:19">
      <c r="S2242" s="109"/>
    </row>
    <row r="2243" spans="19:19">
      <c r="S2243" s="109"/>
    </row>
    <row r="2244" spans="19:19">
      <c r="S2244" s="109"/>
    </row>
    <row r="2245" spans="19:19">
      <c r="S2245" s="109"/>
    </row>
    <row r="2246" spans="19:19">
      <c r="S2246" s="109"/>
    </row>
    <row r="2247" spans="19:19">
      <c r="S2247" s="109"/>
    </row>
    <row r="2248" spans="19:19">
      <c r="S2248" s="109"/>
    </row>
    <row r="2249" spans="19:19">
      <c r="S2249" s="109"/>
    </row>
    <row r="2250" spans="19:19">
      <c r="S2250" s="109"/>
    </row>
    <row r="2251" spans="19:19">
      <c r="S2251" s="109"/>
    </row>
    <row r="2252" spans="19:19">
      <c r="S2252" s="109"/>
    </row>
    <row r="2253" spans="19:19">
      <c r="S2253" s="109"/>
    </row>
    <row r="2254" spans="19:19">
      <c r="S2254" s="109"/>
    </row>
    <row r="2255" spans="19:19">
      <c r="S2255" s="109"/>
    </row>
    <row r="2256" spans="19:19">
      <c r="S2256" s="109"/>
    </row>
    <row r="2257" spans="19:19">
      <c r="S2257" s="109"/>
    </row>
    <row r="2258" spans="19:19">
      <c r="S2258" s="109"/>
    </row>
    <row r="2259" spans="19:19">
      <c r="S2259" s="109"/>
    </row>
    <row r="2260" spans="19:19">
      <c r="S2260" s="109"/>
    </row>
    <row r="2261" spans="19:19">
      <c r="S2261" s="109"/>
    </row>
    <row r="2262" spans="19:19">
      <c r="S2262" s="109"/>
    </row>
    <row r="2263" spans="19:19">
      <c r="S2263" s="109"/>
    </row>
    <row r="2264" spans="19:19">
      <c r="S2264" s="109"/>
    </row>
    <row r="2265" spans="19:19">
      <c r="S2265" s="109"/>
    </row>
    <row r="2266" spans="19:19">
      <c r="S2266" s="109"/>
    </row>
    <row r="2267" spans="19:19">
      <c r="S2267" s="109"/>
    </row>
    <row r="2268" spans="19:19">
      <c r="S2268" s="109"/>
    </row>
    <row r="2269" spans="19:19">
      <c r="S2269" s="109"/>
    </row>
    <row r="2270" spans="19:19">
      <c r="S2270" s="109"/>
    </row>
    <row r="2271" spans="19:19">
      <c r="S2271" s="109"/>
    </row>
    <row r="2272" spans="19:19">
      <c r="S2272" s="109"/>
    </row>
    <row r="2273" spans="19:19">
      <c r="S2273" s="109"/>
    </row>
    <row r="2274" spans="19:19">
      <c r="S2274" s="109"/>
    </row>
    <row r="2275" spans="19:19">
      <c r="S2275" s="109"/>
    </row>
    <row r="2276" spans="19:19">
      <c r="S2276" s="109"/>
    </row>
    <row r="2277" spans="19:19">
      <c r="S2277" s="109"/>
    </row>
    <row r="2278" spans="19:19">
      <c r="S2278" s="109"/>
    </row>
    <row r="2279" spans="19:19">
      <c r="S2279" s="109"/>
    </row>
    <row r="2280" spans="19:19">
      <c r="S2280" s="109"/>
    </row>
    <row r="2281" spans="19:19">
      <c r="S2281" s="109"/>
    </row>
    <row r="2282" spans="19:19">
      <c r="S2282" s="109"/>
    </row>
    <row r="2283" spans="19:19">
      <c r="S2283" s="109"/>
    </row>
    <row r="2284" spans="19:19">
      <c r="S2284" s="109"/>
    </row>
    <row r="2285" spans="19:19">
      <c r="S2285" s="109"/>
    </row>
    <row r="2286" spans="19:19">
      <c r="S2286" s="109"/>
    </row>
    <row r="2287" spans="19:19">
      <c r="S2287" s="109"/>
    </row>
    <row r="2288" spans="19:19">
      <c r="S2288" s="109"/>
    </row>
    <row r="2289" spans="19:19">
      <c r="S2289" s="109"/>
    </row>
    <row r="2290" spans="19:19">
      <c r="S2290" s="109"/>
    </row>
    <row r="2291" spans="19:19">
      <c r="S2291" s="109"/>
    </row>
    <row r="2292" spans="19:19">
      <c r="S2292" s="109"/>
    </row>
    <row r="2293" spans="19:19">
      <c r="S2293" s="109"/>
    </row>
    <row r="2294" spans="19:19">
      <c r="S2294" s="109"/>
    </row>
    <row r="2295" spans="19:19">
      <c r="S2295" s="109"/>
    </row>
    <row r="2296" spans="19:19">
      <c r="S2296" s="109"/>
    </row>
    <row r="2297" spans="19:19">
      <c r="S2297" s="109"/>
    </row>
    <row r="2298" spans="19:19">
      <c r="S2298" s="109"/>
    </row>
    <row r="2299" spans="19:19">
      <c r="S2299" s="109"/>
    </row>
    <row r="2300" spans="19:19">
      <c r="S2300" s="109"/>
    </row>
    <row r="2301" spans="19:19">
      <c r="S2301" s="109"/>
    </row>
    <row r="2302" spans="19:19">
      <c r="S2302" s="109"/>
    </row>
    <row r="2303" spans="19:19">
      <c r="S2303" s="109"/>
    </row>
    <row r="2304" spans="19:19">
      <c r="S2304" s="109"/>
    </row>
    <row r="2305" spans="19:19">
      <c r="S2305" s="109"/>
    </row>
    <row r="2306" spans="19:19">
      <c r="S2306" s="109"/>
    </row>
    <row r="2307" spans="19:19">
      <c r="S2307" s="109"/>
    </row>
    <row r="2308" spans="19:19">
      <c r="S2308" s="109"/>
    </row>
    <row r="2309" spans="19:19">
      <c r="S2309" s="109"/>
    </row>
    <row r="2310" spans="19:19">
      <c r="S2310" s="109"/>
    </row>
    <row r="2311" spans="19:19">
      <c r="S2311" s="109"/>
    </row>
    <row r="2312" spans="19:19">
      <c r="S2312" s="109"/>
    </row>
    <row r="2313" spans="19:19">
      <c r="S2313" s="109"/>
    </row>
    <row r="2314" spans="19:19">
      <c r="S2314" s="109"/>
    </row>
    <row r="2315" spans="19:19">
      <c r="S2315" s="109"/>
    </row>
    <row r="2316" spans="19:19">
      <c r="S2316" s="109"/>
    </row>
    <row r="2317" spans="19:19">
      <c r="S2317" s="109"/>
    </row>
    <row r="2318" spans="19:19">
      <c r="S2318" s="109"/>
    </row>
    <row r="2319" spans="19:19">
      <c r="S2319" s="109"/>
    </row>
    <row r="2320" spans="19:19">
      <c r="S2320" s="109"/>
    </row>
    <row r="2321" spans="19:19">
      <c r="S2321" s="109"/>
    </row>
    <row r="2322" spans="19:19">
      <c r="S2322" s="109"/>
    </row>
    <row r="2323" spans="19:19">
      <c r="S2323" s="109"/>
    </row>
    <row r="2324" spans="19:19">
      <c r="S2324" s="109"/>
    </row>
    <row r="2325" spans="19:19">
      <c r="S2325" s="109"/>
    </row>
    <row r="2326" spans="19:19">
      <c r="S2326" s="109"/>
    </row>
    <row r="2327" spans="19:19">
      <c r="S2327" s="109"/>
    </row>
    <row r="2328" spans="19:19">
      <c r="S2328" s="109"/>
    </row>
    <row r="2329" spans="19:19">
      <c r="S2329" s="109"/>
    </row>
    <row r="2330" spans="19:19">
      <c r="S2330" s="109"/>
    </row>
    <row r="2331" spans="19:19">
      <c r="S2331" s="109"/>
    </row>
    <row r="2332" spans="19:19">
      <c r="S2332" s="109"/>
    </row>
    <row r="2333" spans="19:19">
      <c r="S2333" s="109"/>
    </row>
    <row r="2334" spans="19:19">
      <c r="S2334" s="109"/>
    </row>
    <row r="2335" spans="19:19">
      <c r="S2335" s="109"/>
    </row>
    <row r="2336" spans="19:19">
      <c r="S2336" s="109"/>
    </row>
    <row r="2337" spans="19:19">
      <c r="S2337" s="109"/>
    </row>
    <row r="2338" spans="19:19">
      <c r="S2338" s="109"/>
    </row>
    <row r="2339" spans="19:19">
      <c r="S2339" s="109"/>
    </row>
    <row r="2340" spans="19:19">
      <c r="S2340" s="109"/>
    </row>
    <row r="2341" spans="19:19">
      <c r="S2341" s="109"/>
    </row>
    <row r="2342" spans="19:19">
      <c r="S2342" s="109"/>
    </row>
    <row r="2343" spans="19:19">
      <c r="S2343" s="109"/>
    </row>
    <row r="2344" spans="19:19">
      <c r="S2344" s="109"/>
    </row>
    <row r="2345" spans="19:19">
      <c r="S2345" s="109"/>
    </row>
    <row r="2346" spans="19:19">
      <c r="S2346" s="109"/>
    </row>
    <row r="2347" spans="19:19">
      <c r="S2347" s="109"/>
    </row>
    <row r="2348" spans="19:19">
      <c r="S2348" s="109"/>
    </row>
    <row r="2349" spans="19:19">
      <c r="S2349" s="109"/>
    </row>
    <row r="2350" spans="19:19">
      <c r="S2350" s="109"/>
    </row>
    <row r="2351" spans="19:19">
      <c r="S2351" s="109"/>
    </row>
    <row r="2352" spans="19:19">
      <c r="S2352" s="109"/>
    </row>
    <row r="2353" spans="19:19">
      <c r="S2353" s="109"/>
    </row>
    <row r="2354" spans="19:19">
      <c r="S2354" s="109"/>
    </row>
    <row r="2355" spans="19:19">
      <c r="S2355" s="109"/>
    </row>
    <row r="2356" spans="19:19">
      <c r="S2356" s="109"/>
    </row>
    <row r="2357" spans="19:19">
      <c r="S2357" s="109"/>
    </row>
    <row r="2358" spans="19:19">
      <c r="S2358" s="109"/>
    </row>
    <row r="2359" spans="19:19">
      <c r="S2359" s="109"/>
    </row>
    <row r="2360" spans="19:19">
      <c r="S2360" s="109"/>
    </row>
    <row r="2361" spans="19:19">
      <c r="S2361" s="109"/>
    </row>
    <row r="2362" spans="19:19">
      <c r="S2362" s="109"/>
    </row>
    <row r="2363" spans="19:19">
      <c r="S2363" s="109"/>
    </row>
    <row r="2364" spans="19:19">
      <c r="S2364" s="109"/>
    </row>
    <row r="2365" spans="19:19">
      <c r="S2365" s="109"/>
    </row>
    <row r="2366" spans="19:19">
      <c r="S2366" s="109"/>
    </row>
    <row r="2367" spans="19:19">
      <c r="S2367" s="109"/>
    </row>
    <row r="2368" spans="19:19">
      <c r="S2368" s="109"/>
    </row>
    <row r="2369" spans="19:19">
      <c r="S2369" s="109"/>
    </row>
    <row r="2370" spans="19:19">
      <c r="S2370" s="109"/>
    </row>
    <row r="2371" spans="19:19">
      <c r="S2371" s="109"/>
    </row>
    <row r="2372" spans="19:19">
      <c r="S2372" s="109"/>
    </row>
    <row r="2373" spans="19:19">
      <c r="S2373" s="109"/>
    </row>
    <row r="2374" spans="19:19">
      <c r="S2374" s="109"/>
    </row>
    <row r="2375" spans="19:19">
      <c r="S2375" s="109"/>
    </row>
    <row r="2376" spans="19:19">
      <c r="S2376" s="109"/>
    </row>
    <row r="2377" spans="19:19">
      <c r="S2377" s="109"/>
    </row>
    <row r="2378" spans="19:19">
      <c r="S2378" s="109"/>
    </row>
    <row r="2379" spans="19:19">
      <c r="S2379" s="109"/>
    </row>
    <row r="2380" spans="19:19">
      <c r="S2380" s="109"/>
    </row>
    <row r="2381" spans="19:19">
      <c r="S2381" s="109"/>
    </row>
    <row r="2382" spans="19:19">
      <c r="S2382" s="109"/>
    </row>
    <row r="2383" spans="19:19">
      <c r="S2383" s="109"/>
    </row>
    <row r="2384" spans="19:19">
      <c r="S2384" s="109"/>
    </row>
    <row r="2385" spans="19:19">
      <c r="S2385" s="109"/>
    </row>
    <row r="2386" spans="19:19">
      <c r="S2386" s="109"/>
    </row>
    <row r="2387" spans="19:19">
      <c r="S2387" s="109"/>
    </row>
    <row r="2388" spans="19:19">
      <c r="S2388" s="109"/>
    </row>
    <row r="2389" spans="19:19">
      <c r="S2389" s="109"/>
    </row>
    <row r="2390" spans="19:19">
      <c r="S2390" s="109"/>
    </row>
    <row r="2391" spans="19:19">
      <c r="S2391" s="109"/>
    </row>
    <row r="2392" spans="19:19">
      <c r="S2392" s="109"/>
    </row>
    <row r="2393" spans="19:19">
      <c r="S2393" s="109"/>
    </row>
    <row r="2394" spans="19:19">
      <c r="S2394" s="109"/>
    </row>
    <row r="2395" spans="19:19">
      <c r="S2395" s="109"/>
    </row>
    <row r="2396" spans="19:19">
      <c r="S2396" s="109"/>
    </row>
    <row r="2397" spans="19:19">
      <c r="S2397" s="109"/>
    </row>
    <row r="2398" spans="19:19">
      <c r="S2398" s="109"/>
    </row>
    <row r="2399" spans="19:19">
      <c r="S2399" s="109"/>
    </row>
    <row r="2400" spans="19:19">
      <c r="S2400" s="109"/>
    </row>
    <row r="2401" spans="19:19">
      <c r="S2401" s="109"/>
    </row>
    <row r="2402" spans="19:19">
      <c r="S2402" s="109"/>
    </row>
    <row r="2403" spans="19:19">
      <c r="S2403" s="109"/>
    </row>
    <row r="2404" spans="19:19">
      <c r="S2404" s="109"/>
    </row>
    <row r="2405" spans="19:19">
      <c r="S2405" s="109"/>
    </row>
    <row r="2406" spans="19:19">
      <c r="S2406" s="109"/>
    </row>
    <row r="2407" spans="19:19">
      <c r="S2407" s="109"/>
    </row>
    <row r="2408" spans="19:19">
      <c r="S2408" s="109"/>
    </row>
    <row r="2409" spans="19:19">
      <c r="S2409" s="109"/>
    </row>
    <row r="2410" spans="19:19">
      <c r="S2410" s="109"/>
    </row>
    <row r="2411" spans="19:19">
      <c r="S2411" s="109"/>
    </row>
    <row r="2412" spans="19:19">
      <c r="S2412" s="109"/>
    </row>
    <row r="2413" spans="19:19">
      <c r="S2413" s="109"/>
    </row>
    <row r="2414" spans="19:19">
      <c r="S2414" s="109"/>
    </row>
    <row r="2415" spans="19:19">
      <c r="S2415" s="109"/>
    </row>
    <row r="2416" spans="19:19">
      <c r="S2416" s="109"/>
    </row>
    <row r="2417" spans="19:19">
      <c r="S2417" s="109"/>
    </row>
    <row r="2418" spans="19:19">
      <c r="S2418" s="109"/>
    </row>
    <row r="2419" spans="19:19">
      <c r="S2419" s="109"/>
    </row>
    <row r="2420" spans="19:19">
      <c r="S2420" s="109"/>
    </row>
    <row r="2421" spans="19:19">
      <c r="S2421" s="109"/>
    </row>
    <row r="2422" spans="19:19">
      <c r="S2422" s="109"/>
    </row>
    <row r="2423" spans="19:19">
      <c r="S2423" s="109"/>
    </row>
    <row r="2424" spans="19:19">
      <c r="S2424" s="109"/>
    </row>
    <row r="2425" spans="19:19">
      <c r="S2425" s="109"/>
    </row>
    <row r="2426" spans="19:19">
      <c r="S2426" s="109"/>
    </row>
    <row r="2427" spans="19:19">
      <c r="S2427" s="109"/>
    </row>
    <row r="2428" spans="19:19">
      <c r="S2428" s="109"/>
    </row>
    <row r="2429" spans="19:19">
      <c r="S2429" s="109"/>
    </row>
    <row r="2430" spans="19:19">
      <c r="S2430" s="109"/>
    </row>
    <row r="2431" spans="19:19">
      <c r="S2431" s="109"/>
    </row>
    <row r="2432" spans="19:19">
      <c r="S2432" s="109"/>
    </row>
    <row r="2433" spans="19:19">
      <c r="S2433" s="109"/>
    </row>
    <row r="2434" spans="19:19">
      <c r="S2434" s="109"/>
    </row>
    <row r="2435" spans="19:19">
      <c r="S2435" s="109"/>
    </row>
    <row r="2436" spans="19:19">
      <c r="S2436" s="109"/>
    </row>
    <row r="2437" spans="19:19">
      <c r="S2437" s="109"/>
    </row>
    <row r="2438" spans="19:19">
      <c r="S2438" s="109"/>
    </row>
    <row r="2439" spans="19:19">
      <c r="S2439" s="109"/>
    </row>
    <row r="2440" spans="19:19">
      <c r="S2440" s="109"/>
    </row>
    <row r="2441" spans="19:19">
      <c r="S2441" s="109"/>
    </row>
    <row r="2442" spans="19:19">
      <c r="S2442" s="109"/>
    </row>
    <row r="2443" spans="19:19">
      <c r="S2443" s="109"/>
    </row>
    <row r="2444" spans="19:19">
      <c r="S2444" s="109"/>
    </row>
    <row r="2445" spans="19:19">
      <c r="S2445" s="109"/>
    </row>
    <row r="2446" spans="19:19">
      <c r="S2446" s="109"/>
    </row>
    <row r="2447" spans="19:19">
      <c r="S2447" s="109"/>
    </row>
    <row r="2448" spans="19:19">
      <c r="S2448" s="109"/>
    </row>
    <row r="2449" spans="19:19">
      <c r="S2449" s="109"/>
    </row>
    <row r="2450" spans="19:19">
      <c r="S2450" s="109"/>
    </row>
    <row r="2451" spans="19:19">
      <c r="S2451" s="109"/>
    </row>
    <row r="2452" spans="19:19">
      <c r="S2452" s="109"/>
    </row>
    <row r="2453" spans="19:19">
      <c r="S2453" s="109"/>
    </row>
    <row r="2454" spans="19:19">
      <c r="S2454" s="109"/>
    </row>
    <row r="2455" spans="19:19">
      <c r="S2455" s="109"/>
    </row>
    <row r="2456" spans="19:19">
      <c r="S2456" s="109"/>
    </row>
    <row r="2457" spans="19:19">
      <c r="S2457" s="109"/>
    </row>
    <row r="2458" spans="19:19">
      <c r="S2458" s="109"/>
    </row>
    <row r="2459" spans="19:19">
      <c r="S2459" s="109"/>
    </row>
    <row r="2460" spans="19:19">
      <c r="S2460" s="109"/>
    </row>
    <row r="2461" spans="19:19">
      <c r="S2461" s="109"/>
    </row>
    <row r="2462" spans="19:19">
      <c r="S2462" s="109"/>
    </row>
    <row r="2463" spans="19:19">
      <c r="S2463" s="109"/>
    </row>
    <row r="2464" spans="19:19">
      <c r="S2464" s="109"/>
    </row>
    <row r="2465" spans="19:19">
      <c r="S2465" s="109"/>
    </row>
    <row r="2466" spans="19:19">
      <c r="S2466" s="109"/>
    </row>
    <row r="2467" spans="19:19">
      <c r="S2467" s="109"/>
    </row>
    <row r="2468" spans="19:19">
      <c r="S2468" s="109"/>
    </row>
    <row r="2469" spans="19:19">
      <c r="S2469" s="109"/>
    </row>
    <row r="2470" spans="19:19">
      <c r="S2470" s="109"/>
    </row>
    <row r="2471" spans="19:19">
      <c r="S2471" s="109"/>
    </row>
    <row r="2472" spans="19:19">
      <c r="S2472" s="109"/>
    </row>
    <row r="2473" spans="19:19">
      <c r="S2473" s="109"/>
    </row>
    <row r="2474" spans="19:19">
      <c r="S2474" s="109"/>
    </row>
    <row r="2475" spans="19:19">
      <c r="S2475" s="109"/>
    </row>
    <row r="2476" spans="19:19">
      <c r="S2476" s="109"/>
    </row>
    <row r="2477" spans="19:19">
      <c r="S2477" s="109"/>
    </row>
    <row r="2478" spans="19:19">
      <c r="S2478" s="109"/>
    </row>
    <row r="2479" spans="19:19">
      <c r="S2479" s="109"/>
    </row>
    <row r="2480" spans="19:19">
      <c r="S2480" s="109"/>
    </row>
    <row r="2481" spans="19:19">
      <c r="S2481" s="109"/>
    </row>
    <row r="2482" spans="19:19">
      <c r="S2482" s="109"/>
    </row>
    <row r="2483" spans="19:19">
      <c r="S2483" s="109"/>
    </row>
    <row r="2484" spans="19:19">
      <c r="S2484" s="109"/>
    </row>
    <row r="2485" spans="19:19">
      <c r="S2485" s="109"/>
    </row>
    <row r="2486" spans="19:19">
      <c r="S2486" s="109"/>
    </row>
    <row r="2487" spans="19:19">
      <c r="S2487" s="109"/>
    </row>
    <row r="2488" spans="19:19">
      <c r="S2488" s="109"/>
    </row>
    <row r="2489" spans="19:19">
      <c r="S2489" s="109"/>
    </row>
    <row r="2490" spans="19:19">
      <c r="S2490" s="109"/>
    </row>
    <row r="2491" spans="19:19">
      <c r="S2491" s="109"/>
    </row>
    <row r="2492" spans="19:19">
      <c r="S2492" s="109"/>
    </row>
    <row r="2493" spans="19:19">
      <c r="S2493" s="109"/>
    </row>
    <row r="2494" spans="19:19">
      <c r="S2494" s="109"/>
    </row>
    <row r="2495" spans="19:19">
      <c r="S2495" s="109"/>
    </row>
    <row r="2496" spans="19:19">
      <c r="S2496" s="109"/>
    </row>
    <row r="2497" spans="19:19">
      <c r="S2497" s="109"/>
    </row>
    <row r="2498" spans="19:19">
      <c r="S2498" s="109"/>
    </row>
    <row r="2499" spans="19:19">
      <c r="S2499" s="109"/>
    </row>
    <row r="2500" spans="19:19">
      <c r="S2500" s="109"/>
    </row>
    <row r="2501" spans="19:19">
      <c r="S2501" s="109"/>
    </row>
    <row r="2502" spans="19:19">
      <c r="S2502" s="109"/>
    </row>
    <row r="2503" spans="19:19">
      <c r="S2503" s="109"/>
    </row>
    <row r="2504" spans="19:19">
      <c r="S2504" s="109"/>
    </row>
    <row r="2505" spans="19:19">
      <c r="S2505" s="109"/>
    </row>
    <row r="2506" spans="19:19">
      <c r="S2506" s="109"/>
    </row>
    <row r="2507" spans="19:19">
      <c r="S2507" s="109"/>
    </row>
    <row r="2508" spans="19:19">
      <c r="S2508" s="109"/>
    </row>
    <row r="2509" spans="19:19">
      <c r="S2509" s="109"/>
    </row>
    <row r="2510" spans="19:19">
      <c r="S2510" s="109"/>
    </row>
    <row r="2511" spans="19:19">
      <c r="S2511" s="109"/>
    </row>
    <row r="2512" spans="19:19">
      <c r="S2512" s="109"/>
    </row>
    <row r="2513" spans="19:19">
      <c r="S2513" s="109"/>
    </row>
    <row r="2514" spans="19:19">
      <c r="S2514" s="109"/>
    </row>
    <row r="2515" spans="19:19">
      <c r="S2515" s="109"/>
    </row>
    <row r="2516" spans="19:19">
      <c r="S2516" s="109"/>
    </row>
    <row r="2517" spans="19:19">
      <c r="S2517" s="109"/>
    </row>
    <row r="2518" spans="19:19">
      <c r="S2518" s="109"/>
    </row>
    <row r="2519" spans="19:19">
      <c r="S2519" s="109"/>
    </row>
    <row r="2520" spans="19:19">
      <c r="S2520" s="109"/>
    </row>
    <row r="2521" spans="19:19">
      <c r="S2521" s="109"/>
    </row>
    <row r="2522" spans="19:19">
      <c r="S2522" s="109"/>
    </row>
    <row r="2523" spans="19:19">
      <c r="S2523" s="109"/>
    </row>
    <row r="2524" spans="19:19">
      <c r="S2524" s="109"/>
    </row>
    <row r="2525" spans="19:19">
      <c r="S2525" s="109"/>
    </row>
    <row r="2526" spans="19:19">
      <c r="S2526" s="109"/>
    </row>
    <row r="2527" spans="19:19">
      <c r="S2527" s="109"/>
    </row>
    <row r="2528" spans="19:19">
      <c r="S2528" s="109"/>
    </row>
    <row r="2529" spans="19:19">
      <c r="S2529" s="109"/>
    </row>
    <row r="2530" spans="19:19">
      <c r="S2530" s="109"/>
    </row>
    <row r="2531" spans="19:19">
      <c r="S2531" s="109"/>
    </row>
    <row r="2532" spans="19:19">
      <c r="S2532" s="109"/>
    </row>
    <row r="2533" spans="19:19">
      <c r="S2533" s="109"/>
    </row>
    <row r="2534" spans="19:19">
      <c r="S2534" s="109"/>
    </row>
    <row r="2535" spans="19:19">
      <c r="S2535" s="109"/>
    </row>
    <row r="2536" spans="19:19">
      <c r="S2536" s="109"/>
    </row>
    <row r="2537" spans="19:19">
      <c r="S2537" s="109"/>
    </row>
    <row r="2538" spans="19:19">
      <c r="S2538" s="109"/>
    </row>
    <row r="2539" spans="19:19">
      <c r="S2539" s="109"/>
    </row>
    <row r="2540" spans="19:19">
      <c r="S2540" s="109"/>
    </row>
    <row r="2541" spans="19:19">
      <c r="S2541" s="109"/>
    </row>
    <row r="2542" spans="19:19">
      <c r="S2542" s="109"/>
    </row>
    <row r="2543" spans="19:19">
      <c r="S2543" s="109"/>
    </row>
    <row r="2544" spans="19:19">
      <c r="S2544" s="109"/>
    </row>
    <row r="2545" spans="19:19">
      <c r="S2545" s="109"/>
    </row>
    <row r="2546" spans="19:19">
      <c r="S2546" s="109"/>
    </row>
    <row r="2547" spans="19:19">
      <c r="S2547" s="109"/>
    </row>
    <row r="2548" spans="19:19">
      <c r="S2548" s="109"/>
    </row>
    <row r="2549" spans="19:19">
      <c r="S2549" s="109"/>
    </row>
    <row r="2550" spans="19:19">
      <c r="S2550" s="109"/>
    </row>
    <row r="2551" spans="19:19">
      <c r="S2551" s="109"/>
    </row>
    <row r="2552" spans="19:19">
      <c r="S2552" s="109"/>
    </row>
    <row r="2553" spans="19:19">
      <c r="S2553" s="109"/>
    </row>
    <row r="2554" spans="19:19">
      <c r="S2554" s="109"/>
    </row>
    <row r="2555" spans="19:19">
      <c r="S2555" s="109"/>
    </row>
    <row r="2556" spans="19:19">
      <c r="S2556" s="109"/>
    </row>
    <row r="2557" spans="19:19">
      <c r="S2557" s="109"/>
    </row>
    <row r="2558" spans="19:19">
      <c r="S2558" s="109"/>
    </row>
    <row r="2559" spans="19:19">
      <c r="S2559" s="109"/>
    </row>
    <row r="2560" spans="19:19">
      <c r="S2560" s="109"/>
    </row>
    <row r="2561" spans="19:19">
      <c r="S2561" s="109"/>
    </row>
    <row r="2562" spans="19:19">
      <c r="S2562" s="109"/>
    </row>
    <row r="2563" spans="19:19">
      <c r="S2563" s="109"/>
    </row>
    <row r="2564" spans="19:19">
      <c r="S2564" s="109"/>
    </row>
    <row r="2565" spans="19:19">
      <c r="S2565" s="109"/>
    </row>
    <row r="2566" spans="19:19">
      <c r="S2566" s="109"/>
    </row>
    <row r="2567" spans="19:19">
      <c r="S2567" s="109"/>
    </row>
    <row r="2568" spans="19:19">
      <c r="S2568" s="109"/>
    </row>
    <row r="2569" spans="19:19">
      <c r="S2569" s="109"/>
    </row>
    <row r="2570" spans="19:19">
      <c r="S2570" s="109"/>
    </row>
    <row r="2571" spans="19:19">
      <c r="S2571" s="109"/>
    </row>
    <row r="2572" spans="19:19">
      <c r="S2572" s="109"/>
    </row>
    <row r="2573" spans="19:19">
      <c r="S2573" s="109"/>
    </row>
    <row r="2574" spans="19:19">
      <c r="S2574" s="109"/>
    </row>
    <row r="2575" spans="19:19">
      <c r="S2575" s="109"/>
    </row>
    <row r="2576" spans="19:19">
      <c r="S2576" s="109"/>
    </row>
    <row r="2577" spans="19:19">
      <c r="S2577" s="109"/>
    </row>
    <row r="2578" spans="19:19">
      <c r="S2578" s="109"/>
    </row>
    <row r="2579" spans="19:19">
      <c r="S2579" s="109"/>
    </row>
    <row r="2580" spans="19:19">
      <c r="S2580" s="109"/>
    </row>
    <row r="2581" spans="19:19">
      <c r="S2581" s="109"/>
    </row>
    <row r="2582" spans="19:19">
      <c r="S2582" s="109"/>
    </row>
    <row r="2583" spans="19:19">
      <c r="S2583" s="109"/>
    </row>
    <row r="2584" spans="19:19">
      <c r="S2584" s="109"/>
    </row>
    <row r="2585" spans="19:19">
      <c r="S2585" s="109"/>
    </row>
    <row r="2586" spans="19:19">
      <c r="S2586" s="109"/>
    </row>
    <row r="2587" spans="19:19">
      <c r="S2587" s="109"/>
    </row>
    <row r="2588" spans="19:19">
      <c r="S2588" s="109"/>
    </row>
    <row r="2589" spans="19:19">
      <c r="S2589" s="109"/>
    </row>
    <row r="2590" spans="19:19">
      <c r="S2590" s="109"/>
    </row>
    <row r="2591" spans="19:19">
      <c r="S2591" s="109"/>
    </row>
    <row r="2592" spans="19:19">
      <c r="S2592" s="109"/>
    </row>
    <row r="2593" spans="19:19">
      <c r="S2593" s="109"/>
    </row>
    <row r="2594" spans="19:19">
      <c r="S2594" s="109"/>
    </row>
    <row r="2595" spans="19:19">
      <c r="S2595" s="109"/>
    </row>
    <row r="2596" spans="19:19">
      <c r="S2596" s="109"/>
    </row>
    <row r="2597" spans="19:19">
      <c r="S2597" s="109"/>
    </row>
    <row r="2598" spans="19:19">
      <c r="S2598" s="109"/>
    </row>
    <row r="2599" spans="19:19">
      <c r="S2599" s="109"/>
    </row>
    <row r="2600" spans="19:19">
      <c r="S2600" s="109"/>
    </row>
    <row r="2601" spans="19:19">
      <c r="S2601" s="109"/>
    </row>
    <row r="2602" spans="19:19">
      <c r="S2602" s="109"/>
    </row>
    <row r="2603" spans="19:19">
      <c r="S2603" s="109"/>
    </row>
    <row r="2604" spans="19:19">
      <c r="S2604" s="109"/>
    </row>
    <row r="2605" spans="19:19">
      <c r="S2605" s="109"/>
    </row>
    <row r="2606" spans="19:19">
      <c r="S2606" s="109"/>
    </row>
    <row r="2607" spans="19:19">
      <c r="S2607" s="109"/>
    </row>
    <row r="2608" spans="19:19">
      <c r="S2608" s="109"/>
    </row>
    <row r="2609" spans="19:19">
      <c r="S2609" s="109"/>
    </row>
    <row r="2610" spans="19:19">
      <c r="S2610" s="109"/>
    </row>
    <row r="2611" spans="19:19">
      <c r="S2611" s="109"/>
    </row>
    <row r="2612" spans="19:19">
      <c r="S2612" s="109"/>
    </row>
    <row r="2613" spans="19:19">
      <c r="S2613" s="109"/>
    </row>
    <row r="2614" spans="19:19">
      <c r="S2614" s="109"/>
    </row>
    <row r="2615" spans="19:19">
      <c r="S2615" s="109"/>
    </row>
    <row r="2616" spans="19:19">
      <c r="S2616" s="109"/>
    </row>
    <row r="2617" spans="19:19">
      <c r="S2617" s="109"/>
    </row>
    <row r="2618" spans="19:19">
      <c r="S2618" s="109"/>
    </row>
    <row r="2619" spans="19:19">
      <c r="S2619" s="109"/>
    </row>
    <row r="2620" spans="19:19">
      <c r="S2620" s="109"/>
    </row>
    <row r="2621" spans="19:19">
      <c r="S2621" s="109"/>
    </row>
    <row r="2622" spans="19:19">
      <c r="S2622" s="109"/>
    </row>
    <row r="2623" spans="19:19">
      <c r="S2623" s="109"/>
    </row>
    <row r="2624" spans="19:19">
      <c r="S2624" s="109"/>
    </row>
    <row r="2625" spans="19:19">
      <c r="S2625" s="109"/>
    </row>
    <row r="2626" spans="19:19">
      <c r="S2626" s="109"/>
    </row>
    <row r="2627" spans="19:19">
      <c r="S2627" s="109"/>
    </row>
    <row r="2628" spans="19:19">
      <c r="S2628" s="109"/>
    </row>
    <row r="2629" spans="19:19">
      <c r="S2629" s="109"/>
    </row>
    <row r="2630" spans="19:19">
      <c r="S2630" s="109"/>
    </row>
    <row r="2631" spans="19:19">
      <c r="S2631" s="109"/>
    </row>
    <row r="2632" spans="19:19">
      <c r="S2632" s="109"/>
    </row>
    <row r="2633" spans="19:19">
      <c r="S2633" s="109"/>
    </row>
    <row r="2634" spans="19:19">
      <c r="S2634" s="109"/>
    </row>
    <row r="2635" spans="19:19">
      <c r="S2635" s="109"/>
    </row>
    <row r="2636" spans="19:19">
      <c r="S2636" s="109"/>
    </row>
    <row r="2637" spans="19:19">
      <c r="S2637" s="109"/>
    </row>
    <row r="2638" spans="19:19">
      <c r="S2638" s="109"/>
    </row>
    <row r="2639" spans="19:19">
      <c r="S2639" s="109"/>
    </row>
    <row r="2640" spans="19:19">
      <c r="S2640" s="109"/>
    </row>
    <row r="2641" spans="19:19">
      <c r="S2641" s="109"/>
    </row>
    <row r="2642" spans="19:19">
      <c r="S2642" s="109"/>
    </row>
    <row r="2643" spans="19:19">
      <c r="S2643" s="109"/>
    </row>
    <row r="2644" spans="19:19">
      <c r="S2644" s="109"/>
    </row>
    <row r="2645" spans="19:19">
      <c r="S2645" s="109"/>
    </row>
    <row r="2646" spans="19:19">
      <c r="S2646" s="109"/>
    </row>
    <row r="2647" spans="19:19">
      <c r="S2647" s="109"/>
    </row>
    <row r="2648" spans="19:19">
      <c r="S2648" s="109"/>
    </row>
    <row r="2649" spans="19:19">
      <c r="S2649" s="109"/>
    </row>
    <row r="2650" spans="19:19">
      <c r="S2650" s="109"/>
    </row>
    <row r="2651" spans="19:19">
      <c r="S2651" s="109"/>
    </row>
    <row r="2652" spans="19:19">
      <c r="S2652" s="109"/>
    </row>
    <row r="2653" spans="19:19">
      <c r="S2653" s="109"/>
    </row>
    <row r="2654" spans="19:19">
      <c r="S2654" s="109"/>
    </row>
    <row r="2655" spans="19:19">
      <c r="S2655" s="109"/>
    </row>
    <row r="2656" spans="19:19">
      <c r="S2656" s="109"/>
    </row>
    <row r="2657" spans="19:19">
      <c r="S2657" s="109"/>
    </row>
    <row r="2658" spans="19:19">
      <c r="S2658" s="109"/>
    </row>
    <row r="2659" spans="19:19">
      <c r="S2659" s="109"/>
    </row>
    <row r="2660" spans="19:19">
      <c r="S2660" s="109"/>
    </row>
    <row r="2661" spans="19:19">
      <c r="S2661" s="109"/>
    </row>
    <row r="2662" spans="19:19">
      <c r="S2662" s="109"/>
    </row>
    <row r="2663" spans="19:19">
      <c r="S2663" s="109"/>
    </row>
    <row r="2664" spans="19:19">
      <c r="S2664" s="109"/>
    </row>
    <row r="2665" spans="19:19">
      <c r="S2665" s="109"/>
    </row>
    <row r="2666" spans="19:19">
      <c r="S2666" s="109"/>
    </row>
    <row r="2667" spans="19:19">
      <c r="S2667" s="109"/>
    </row>
    <row r="2668" spans="19:19">
      <c r="S2668" s="109"/>
    </row>
    <row r="2669" spans="19:19">
      <c r="S2669" s="109"/>
    </row>
    <row r="2670" spans="19:19">
      <c r="S2670" s="109"/>
    </row>
    <row r="2671" spans="19:19">
      <c r="S2671" s="109"/>
    </row>
    <row r="2672" spans="19:19">
      <c r="S2672" s="109"/>
    </row>
    <row r="2673" spans="19:19">
      <c r="S2673" s="109"/>
    </row>
    <row r="2674" spans="19:19">
      <c r="S2674" s="109"/>
    </row>
    <row r="2675" spans="19:19">
      <c r="S2675" s="109"/>
    </row>
    <row r="2676" spans="19:19">
      <c r="S2676" s="109"/>
    </row>
    <row r="2677" spans="19:19">
      <c r="S2677" s="109"/>
    </row>
    <row r="2678" spans="19:19">
      <c r="S2678" s="109"/>
    </row>
    <row r="2679" spans="19:19">
      <c r="S2679" s="109"/>
    </row>
    <row r="2680" spans="19:19">
      <c r="S2680" s="109"/>
    </row>
    <row r="2681" spans="19:19">
      <c r="S2681" s="109"/>
    </row>
    <row r="2682" spans="19:19">
      <c r="S2682" s="109"/>
    </row>
    <row r="2683" spans="19:19">
      <c r="S2683" s="109"/>
    </row>
    <row r="2684" spans="19:19">
      <c r="S2684" s="109"/>
    </row>
    <row r="2685" spans="19:19">
      <c r="S2685" s="109"/>
    </row>
    <row r="2686" spans="19:19">
      <c r="S2686" s="109"/>
    </row>
    <row r="2687" spans="19:19">
      <c r="S2687" s="109"/>
    </row>
    <row r="2688" spans="19:19">
      <c r="S2688" s="109"/>
    </row>
    <row r="2689" spans="19:19">
      <c r="S2689" s="109"/>
    </row>
    <row r="2690" spans="19:19">
      <c r="S2690" s="109"/>
    </row>
    <row r="2691" spans="19:19">
      <c r="S2691" s="109"/>
    </row>
    <row r="2692" spans="19:19">
      <c r="S2692" s="109"/>
    </row>
    <row r="2693" spans="19:19">
      <c r="S2693" s="109"/>
    </row>
    <row r="2694" spans="19:19">
      <c r="S2694" s="109"/>
    </row>
    <row r="2695" spans="19:19">
      <c r="S2695" s="109"/>
    </row>
    <row r="2696" spans="19:19">
      <c r="S2696" s="109"/>
    </row>
    <row r="2697" spans="19:19">
      <c r="S2697" s="109"/>
    </row>
    <row r="2698" spans="19:19">
      <c r="S2698" s="109"/>
    </row>
    <row r="2699" spans="19:19">
      <c r="S2699" s="109"/>
    </row>
    <row r="2700" spans="19:19">
      <c r="S2700" s="109"/>
    </row>
    <row r="2701" spans="19:19">
      <c r="S2701" s="109"/>
    </row>
    <row r="2702" spans="19:19">
      <c r="S2702" s="109"/>
    </row>
    <row r="2703" spans="19:19">
      <c r="S2703" s="109"/>
    </row>
    <row r="2704" spans="19:19">
      <c r="S2704" s="109"/>
    </row>
    <row r="2705" spans="19:19">
      <c r="S2705" s="109"/>
    </row>
    <row r="2706" spans="19:19">
      <c r="S2706" s="109"/>
    </row>
    <row r="2707" spans="19:19">
      <c r="S2707" s="109"/>
    </row>
    <row r="2708" spans="19:19">
      <c r="S2708" s="109"/>
    </row>
    <row r="2709" spans="19:19">
      <c r="S2709" s="109"/>
    </row>
    <row r="2710" spans="19:19">
      <c r="S2710" s="109"/>
    </row>
    <row r="2711" spans="19:19">
      <c r="S2711" s="109"/>
    </row>
    <row r="2712" spans="19:19">
      <c r="S2712" s="109"/>
    </row>
    <row r="2713" spans="19:19">
      <c r="S2713" s="109"/>
    </row>
    <row r="2714" spans="19:19">
      <c r="S2714" s="109"/>
    </row>
    <row r="2715" spans="19:19">
      <c r="S2715" s="109"/>
    </row>
    <row r="2716" spans="19:19">
      <c r="S2716" s="109"/>
    </row>
    <row r="2717" spans="19:19">
      <c r="S2717" s="109"/>
    </row>
    <row r="2718" spans="19:19">
      <c r="S2718" s="109"/>
    </row>
    <row r="2719" spans="19:19">
      <c r="S2719" s="109"/>
    </row>
    <row r="2720" spans="19:19">
      <c r="S2720" s="109"/>
    </row>
    <row r="2721" spans="19:19">
      <c r="S2721" s="109"/>
    </row>
    <row r="2722" spans="19:19">
      <c r="S2722" s="109"/>
    </row>
    <row r="2723" spans="19:19">
      <c r="S2723" s="109"/>
    </row>
    <row r="2724" spans="19:19">
      <c r="S2724" s="109"/>
    </row>
    <row r="2725" spans="19:19">
      <c r="S2725" s="109"/>
    </row>
    <row r="2726" spans="19:19">
      <c r="S2726" s="109"/>
    </row>
    <row r="2727" spans="19:19">
      <c r="S2727" s="109"/>
    </row>
    <row r="2728" spans="19:19">
      <c r="S2728" s="109"/>
    </row>
    <row r="2729" spans="19:19">
      <c r="S2729" s="109"/>
    </row>
    <row r="2730" spans="19:19">
      <c r="S2730" s="109"/>
    </row>
    <row r="2731" spans="19:19">
      <c r="S2731" s="109"/>
    </row>
    <row r="2732" spans="19:19">
      <c r="S2732" s="109"/>
    </row>
    <row r="2733" spans="19:19">
      <c r="S2733" s="109"/>
    </row>
    <row r="2734" spans="19:19">
      <c r="S2734" s="109"/>
    </row>
    <row r="2735" spans="19:19">
      <c r="S2735" s="109"/>
    </row>
    <row r="2736" spans="19:19">
      <c r="S2736" s="109"/>
    </row>
    <row r="2737" spans="19:19">
      <c r="S2737" s="109"/>
    </row>
    <row r="2738" spans="19:19">
      <c r="S2738" s="109"/>
    </row>
    <row r="2739" spans="19:19">
      <c r="S2739" s="109"/>
    </row>
    <row r="2740" spans="19:19">
      <c r="S2740" s="109"/>
    </row>
    <row r="2741" spans="19:19">
      <c r="S2741" s="109"/>
    </row>
    <row r="2742" spans="19:19">
      <c r="S2742" s="109"/>
    </row>
    <row r="2743" spans="19:19">
      <c r="S2743" s="109"/>
    </row>
    <row r="2744" spans="19:19">
      <c r="S2744" s="109"/>
    </row>
    <row r="2745" spans="19:19">
      <c r="S2745" s="109"/>
    </row>
    <row r="2746" spans="19:19">
      <c r="S2746" s="109"/>
    </row>
    <row r="2747" spans="19:19">
      <c r="S2747" s="109"/>
    </row>
    <row r="2748" spans="19:19">
      <c r="S2748" s="109"/>
    </row>
    <row r="2749" spans="19:19">
      <c r="S2749" s="109"/>
    </row>
    <row r="2750" spans="19:19">
      <c r="S2750" s="109"/>
    </row>
    <row r="2751" spans="19:19">
      <c r="S2751" s="109"/>
    </row>
    <row r="2752" spans="19:19">
      <c r="S2752" s="109"/>
    </row>
    <row r="2753" spans="19:19">
      <c r="S2753" s="109"/>
    </row>
    <row r="2754" spans="19:19">
      <c r="S2754" s="109"/>
    </row>
    <row r="2755" spans="19:19">
      <c r="S2755" s="109"/>
    </row>
    <row r="2756" spans="19:19">
      <c r="S2756" s="109"/>
    </row>
    <row r="2757" spans="19:19">
      <c r="S2757" s="109"/>
    </row>
    <row r="2758" spans="19:19">
      <c r="S2758" s="109"/>
    </row>
    <row r="2759" spans="19:19">
      <c r="S2759" s="109"/>
    </row>
    <row r="2760" spans="19:19">
      <c r="S2760" s="109"/>
    </row>
    <row r="2761" spans="19:19">
      <c r="S2761" s="109"/>
    </row>
    <row r="2762" spans="19:19">
      <c r="S2762" s="109"/>
    </row>
    <row r="2763" spans="19:19">
      <c r="S2763" s="109"/>
    </row>
    <row r="2764" spans="19:19">
      <c r="S2764" s="109"/>
    </row>
    <row r="2765" spans="19:19">
      <c r="S2765" s="109"/>
    </row>
    <row r="2766" spans="19:19">
      <c r="S2766" s="109"/>
    </row>
    <row r="2767" spans="19:19">
      <c r="S2767" s="109"/>
    </row>
    <row r="2768" spans="19:19">
      <c r="S2768" s="109"/>
    </row>
    <row r="2769" spans="19:19">
      <c r="S2769" s="109"/>
    </row>
    <row r="2770" spans="19:19">
      <c r="S2770" s="109"/>
    </row>
    <row r="2771" spans="19:19">
      <c r="S2771" s="109"/>
    </row>
    <row r="2772" spans="19:19">
      <c r="S2772" s="109"/>
    </row>
    <row r="2773" spans="19:19">
      <c r="S2773" s="109"/>
    </row>
    <row r="2774" spans="19:19">
      <c r="S2774" s="109"/>
    </row>
    <row r="2775" spans="19:19">
      <c r="S2775" s="109"/>
    </row>
    <row r="2776" spans="19:19">
      <c r="S2776" s="109"/>
    </row>
    <row r="2777" spans="19:19">
      <c r="S2777" s="109"/>
    </row>
    <row r="2778" spans="19:19">
      <c r="S2778" s="109"/>
    </row>
    <row r="2779" spans="19:19">
      <c r="S2779" s="109"/>
    </row>
    <row r="2780" spans="19:19">
      <c r="S2780" s="109"/>
    </row>
    <row r="2781" spans="19:19">
      <c r="S2781" s="109"/>
    </row>
    <row r="2782" spans="19:19">
      <c r="S2782" s="109"/>
    </row>
    <row r="2783" spans="19:19">
      <c r="S2783" s="109"/>
    </row>
    <row r="2784" spans="19:19">
      <c r="S2784" s="109"/>
    </row>
    <row r="2785" spans="19:19">
      <c r="S2785" s="109"/>
    </row>
    <row r="2786" spans="19:19">
      <c r="S2786" s="109"/>
    </row>
    <row r="2787" spans="19:19">
      <c r="S2787" s="109"/>
    </row>
    <row r="2788" spans="19:19">
      <c r="S2788" s="109"/>
    </row>
    <row r="2789" spans="19:19">
      <c r="S2789" s="109"/>
    </row>
    <row r="2790" spans="19:19">
      <c r="S2790" s="109"/>
    </row>
    <row r="2791" spans="19:19">
      <c r="S2791" s="109"/>
    </row>
    <row r="2792" spans="19:19">
      <c r="S2792" s="109"/>
    </row>
    <row r="2793" spans="19:19">
      <c r="S2793" s="109"/>
    </row>
    <row r="2794" spans="19:19">
      <c r="S2794" s="109"/>
    </row>
    <row r="2795" spans="19:19">
      <c r="S2795" s="109"/>
    </row>
    <row r="2796" spans="19:19">
      <c r="S2796" s="109"/>
    </row>
    <row r="2797" spans="19:19">
      <c r="S2797" s="109"/>
    </row>
    <row r="2798" spans="19:19">
      <c r="S2798" s="109"/>
    </row>
    <row r="2799" spans="19:19">
      <c r="S2799" s="109"/>
    </row>
    <row r="2800" spans="19:19">
      <c r="S2800" s="109"/>
    </row>
    <row r="2801" spans="19:19">
      <c r="S2801" s="109"/>
    </row>
    <row r="2802" spans="19:19">
      <c r="S2802" s="109"/>
    </row>
    <row r="2803" spans="19:19">
      <c r="S2803" s="109"/>
    </row>
    <row r="2804" spans="19:19">
      <c r="S2804" s="109"/>
    </row>
    <row r="2805" spans="19:19">
      <c r="S2805" s="109"/>
    </row>
    <row r="2806" spans="19:19">
      <c r="S2806" s="109"/>
    </row>
    <row r="2807" spans="19:19">
      <c r="S2807" s="109"/>
    </row>
    <row r="2808" spans="19:19">
      <c r="S2808" s="109"/>
    </row>
    <row r="2809" spans="19:19">
      <c r="S2809" s="109"/>
    </row>
    <row r="2810" spans="19:19">
      <c r="S2810" s="109"/>
    </row>
    <row r="2811" spans="19:19">
      <c r="S2811" s="109"/>
    </row>
    <row r="2812" spans="19:19">
      <c r="S2812" s="109"/>
    </row>
    <row r="2813" spans="19:19">
      <c r="S2813" s="109"/>
    </row>
    <row r="2814" spans="19:19">
      <c r="S2814" s="109"/>
    </row>
    <row r="2815" spans="19:19">
      <c r="S2815" s="109"/>
    </row>
    <row r="2816" spans="19:19">
      <c r="S2816" s="109"/>
    </row>
    <row r="2817" spans="19:19">
      <c r="S2817" s="109"/>
    </row>
    <row r="2818" spans="19:19">
      <c r="S2818" s="109"/>
    </row>
    <row r="2819" spans="19:19">
      <c r="S2819" s="109"/>
    </row>
    <row r="2820" spans="19:19">
      <c r="S2820" s="109"/>
    </row>
    <row r="2821" spans="19:19">
      <c r="S2821" s="109"/>
    </row>
    <row r="2822" spans="19:19">
      <c r="S2822" s="109"/>
    </row>
    <row r="2823" spans="19:19">
      <c r="S2823" s="109"/>
    </row>
    <row r="2824" spans="19:19">
      <c r="S2824" s="109"/>
    </row>
    <row r="2825" spans="19:19">
      <c r="S2825" s="109"/>
    </row>
    <row r="2826" spans="19:19">
      <c r="S2826" s="109"/>
    </row>
    <row r="2827" spans="19:19">
      <c r="S2827" s="109"/>
    </row>
    <row r="2828" spans="19:19">
      <c r="S2828" s="109"/>
    </row>
    <row r="2829" spans="19:19">
      <c r="S2829" s="109"/>
    </row>
    <row r="2830" spans="19:19">
      <c r="S2830" s="109"/>
    </row>
    <row r="2831" spans="19:19">
      <c r="S2831" s="109"/>
    </row>
    <row r="2832" spans="19:19">
      <c r="S2832" s="109"/>
    </row>
    <row r="2833" spans="19:19">
      <c r="S2833" s="109"/>
    </row>
    <row r="2834" spans="19:19">
      <c r="S2834" s="109"/>
    </row>
    <row r="2835" spans="19:19">
      <c r="S2835" s="109"/>
    </row>
    <row r="2836" spans="19:19">
      <c r="S2836" s="109"/>
    </row>
    <row r="2837" spans="19:19">
      <c r="S2837" s="109"/>
    </row>
    <row r="2838" spans="19:19">
      <c r="S2838" s="109"/>
    </row>
    <row r="2839" spans="19:19">
      <c r="S2839" s="109"/>
    </row>
    <row r="2840" spans="19:19">
      <c r="S2840" s="109"/>
    </row>
    <row r="2841" spans="19:19">
      <c r="S2841" s="109"/>
    </row>
    <row r="2842" spans="19:19">
      <c r="S2842" s="109"/>
    </row>
    <row r="2843" spans="19:19">
      <c r="S2843" s="109"/>
    </row>
    <row r="2844" spans="19:19">
      <c r="S2844" s="109"/>
    </row>
    <row r="2845" spans="19:19">
      <c r="S2845" s="109"/>
    </row>
    <row r="2846" spans="19:19">
      <c r="S2846" s="109"/>
    </row>
    <row r="2847" spans="19:19">
      <c r="S2847" s="109"/>
    </row>
    <row r="2848" spans="19:19">
      <c r="S2848" s="109"/>
    </row>
    <row r="2849" spans="19:19">
      <c r="S2849" s="109"/>
    </row>
    <row r="2850" spans="19:19">
      <c r="S2850" s="109"/>
    </row>
    <row r="2851" spans="19:19">
      <c r="S2851" s="109"/>
    </row>
    <row r="2852" spans="19:19">
      <c r="S2852" s="109"/>
    </row>
    <row r="2853" spans="19:19">
      <c r="S2853" s="109"/>
    </row>
    <row r="2854" spans="19:19">
      <c r="S2854" s="109"/>
    </row>
    <row r="2855" spans="19:19">
      <c r="S2855" s="109"/>
    </row>
    <row r="2856" spans="19:19">
      <c r="S2856" s="109"/>
    </row>
    <row r="2857" spans="19:19">
      <c r="S2857" s="109"/>
    </row>
    <row r="2858" spans="19:19">
      <c r="S2858" s="109"/>
    </row>
    <row r="2859" spans="19:19">
      <c r="S2859" s="109"/>
    </row>
    <row r="2860" spans="19:19">
      <c r="S2860" s="109"/>
    </row>
    <row r="2861" spans="19:19">
      <c r="S2861" s="109"/>
    </row>
    <row r="2862" spans="19:19">
      <c r="S2862" s="109"/>
    </row>
    <row r="2863" spans="19:19">
      <c r="S2863" s="109"/>
    </row>
    <row r="2864" spans="19:19">
      <c r="S2864" s="109"/>
    </row>
    <row r="2865" spans="19:19">
      <c r="S2865" s="109"/>
    </row>
    <row r="2866" spans="19:19">
      <c r="S2866" s="109"/>
    </row>
    <row r="2867" spans="19:19">
      <c r="S2867" s="109"/>
    </row>
    <row r="2868" spans="19:19">
      <c r="S2868" s="109"/>
    </row>
    <row r="2869" spans="19:19">
      <c r="S2869" s="109"/>
    </row>
    <row r="2870" spans="19:19">
      <c r="S2870" s="109"/>
    </row>
    <row r="2871" spans="19:19">
      <c r="S2871" s="109"/>
    </row>
    <row r="2872" spans="19:19">
      <c r="S2872" s="109"/>
    </row>
    <row r="2873" spans="19:19">
      <c r="S2873" s="109"/>
    </row>
    <row r="2874" spans="19:19">
      <c r="S2874" s="109"/>
    </row>
    <row r="2875" spans="19:19">
      <c r="S2875" s="109"/>
    </row>
    <row r="2876" spans="19:19">
      <c r="S2876" s="109"/>
    </row>
    <row r="2877" spans="19:19">
      <c r="S2877" s="109"/>
    </row>
    <row r="2878" spans="19:19">
      <c r="S2878" s="109"/>
    </row>
    <row r="2879" spans="19:19">
      <c r="S2879" s="109"/>
    </row>
    <row r="2880" spans="19:19">
      <c r="S2880" s="109"/>
    </row>
    <row r="2881" spans="19:19">
      <c r="S2881" s="109"/>
    </row>
    <row r="2882" spans="19:19">
      <c r="S2882" s="109"/>
    </row>
    <row r="2883" spans="19:19">
      <c r="S2883" s="109"/>
    </row>
    <row r="2884" spans="19:19">
      <c r="S2884" s="109"/>
    </row>
    <row r="2885" spans="19:19">
      <c r="S2885" s="109"/>
    </row>
    <row r="2886" spans="19:19">
      <c r="S2886" s="109"/>
    </row>
    <row r="2887" spans="19:19">
      <c r="S2887" s="109"/>
    </row>
    <row r="2888" spans="19:19">
      <c r="S2888" s="109"/>
    </row>
    <row r="2889" spans="19:19">
      <c r="S2889" s="109"/>
    </row>
    <row r="2890" spans="19:19">
      <c r="S2890" s="109"/>
    </row>
    <row r="2891" spans="19:19">
      <c r="S2891" s="109"/>
    </row>
    <row r="2892" spans="19:19">
      <c r="S2892" s="109"/>
    </row>
    <row r="2893" spans="19:19">
      <c r="S2893" s="109"/>
    </row>
    <row r="2894" spans="19:19">
      <c r="S2894" s="109"/>
    </row>
    <row r="2895" spans="19:19">
      <c r="S2895" s="109"/>
    </row>
    <row r="2896" spans="19:19">
      <c r="S2896" s="109"/>
    </row>
    <row r="2897" spans="19:19">
      <c r="S2897" s="109"/>
    </row>
    <row r="2898" spans="19:19">
      <c r="S2898" s="109"/>
    </row>
    <row r="2899" spans="19:19">
      <c r="S2899" s="109"/>
    </row>
    <row r="2900" spans="19:19">
      <c r="S2900" s="109"/>
    </row>
    <row r="2901" spans="19:19">
      <c r="S2901" s="109"/>
    </row>
    <row r="2902" spans="19:19">
      <c r="S2902" s="109"/>
    </row>
    <row r="2903" spans="19:19">
      <c r="S2903" s="109"/>
    </row>
    <row r="2904" spans="19:19">
      <c r="S2904" s="109"/>
    </row>
    <row r="2905" spans="19:19">
      <c r="S2905" s="109"/>
    </row>
    <row r="2906" spans="19:19">
      <c r="S2906" s="109"/>
    </row>
    <row r="2907" spans="19:19">
      <c r="S2907" s="109"/>
    </row>
    <row r="2908" spans="19:19">
      <c r="S2908" s="109"/>
    </row>
    <row r="2909" spans="19:19">
      <c r="S2909" s="109"/>
    </row>
    <row r="2910" spans="19:19">
      <c r="S2910" s="109"/>
    </row>
    <row r="2911" spans="19:19">
      <c r="S2911" s="109"/>
    </row>
    <row r="2912" spans="19:19">
      <c r="S2912" s="109"/>
    </row>
    <row r="2913" spans="19:19">
      <c r="S2913" s="109"/>
    </row>
    <row r="2914" spans="19:19">
      <c r="S2914" s="109"/>
    </row>
    <row r="2915" spans="19:19">
      <c r="S2915" s="109"/>
    </row>
    <row r="2916" spans="19:19">
      <c r="S2916" s="109"/>
    </row>
    <row r="2917" spans="19:19">
      <c r="S2917" s="109"/>
    </row>
    <row r="2918" spans="19:19">
      <c r="S2918" s="109"/>
    </row>
    <row r="2919" spans="19:19">
      <c r="S2919" s="109"/>
    </row>
    <row r="2920" spans="19:19">
      <c r="S2920" s="109"/>
    </row>
    <row r="2921" spans="19:19">
      <c r="S2921" s="109"/>
    </row>
    <row r="2922" spans="19:19">
      <c r="S2922" s="109"/>
    </row>
    <row r="2923" spans="19:19">
      <c r="S2923" s="109"/>
    </row>
    <row r="2924" spans="19:19">
      <c r="S2924" s="109"/>
    </row>
    <row r="2925" spans="19:19">
      <c r="S2925" s="109"/>
    </row>
    <row r="2926" spans="19:19">
      <c r="S2926" s="109"/>
    </row>
    <row r="2927" spans="19:19">
      <c r="S2927" s="109"/>
    </row>
    <row r="2928" spans="19:19">
      <c r="S2928" s="109"/>
    </row>
    <row r="2929" spans="19:19">
      <c r="S2929" s="109"/>
    </row>
    <row r="2930" spans="19:19">
      <c r="S2930" s="109"/>
    </row>
    <row r="2931" spans="19:19">
      <c r="S2931" s="109"/>
    </row>
    <row r="2932" spans="19:19">
      <c r="S2932" s="109"/>
    </row>
    <row r="2933" spans="19:19">
      <c r="S2933" s="109"/>
    </row>
    <row r="2934" spans="19:19">
      <c r="S2934" s="109"/>
    </row>
    <row r="2935" spans="19:19">
      <c r="S2935" s="109"/>
    </row>
    <row r="2936" spans="19:19">
      <c r="S2936" s="109"/>
    </row>
    <row r="2937" spans="19:19">
      <c r="S2937" s="109"/>
    </row>
    <row r="2938" spans="19:19">
      <c r="S2938" s="109"/>
    </row>
    <row r="2939" spans="19:19">
      <c r="S2939" s="109"/>
    </row>
    <row r="2940" spans="19:19">
      <c r="S2940" s="109"/>
    </row>
    <row r="2941" spans="19:19">
      <c r="S2941" s="109"/>
    </row>
    <row r="2942" spans="19:19">
      <c r="S2942" s="109"/>
    </row>
    <row r="2943" spans="19:19">
      <c r="S2943" s="109"/>
    </row>
    <row r="2944" spans="19:19">
      <c r="S2944" s="109"/>
    </row>
    <row r="2945" spans="19:19">
      <c r="S2945" s="109"/>
    </row>
    <row r="2946" spans="19:19">
      <c r="S2946" s="109"/>
    </row>
    <row r="2947" spans="19:19">
      <c r="S2947" s="109"/>
    </row>
    <row r="2948" spans="19:19">
      <c r="S2948" s="109"/>
    </row>
    <row r="2949" spans="19:19">
      <c r="S2949" s="109"/>
    </row>
    <row r="2950" spans="19:19">
      <c r="S2950" s="109"/>
    </row>
    <row r="2951" spans="19:19">
      <c r="S2951" s="109"/>
    </row>
    <row r="2952" spans="19:19">
      <c r="S2952" s="109"/>
    </row>
    <row r="2953" spans="19:19">
      <c r="S2953" s="109"/>
    </row>
    <row r="2954" spans="19:19">
      <c r="S2954" s="109"/>
    </row>
    <row r="2955" spans="19:19">
      <c r="S2955" s="109"/>
    </row>
    <row r="2956" spans="19:19">
      <c r="S2956" s="109"/>
    </row>
    <row r="2957" spans="19:19">
      <c r="S2957" s="109"/>
    </row>
    <row r="2958" spans="19:19">
      <c r="S2958" s="109"/>
    </row>
    <row r="2959" spans="19:19">
      <c r="S2959" s="109"/>
    </row>
    <row r="2960" spans="19:19">
      <c r="S2960" s="109"/>
    </row>
    <row r="2961" spans="19:19">
      <c r="S2961" s="109"/>
    </row>
    <row r="2962" spans="19:19">
      <c r="S2962" s="109"/>
    </row>
    <row r="2963" spans="19:19">
      <c r="S2963" s="109"/>
    </row>
    <row r="2964" spans="19:19">
      <c r="S2964" s="109"/>
    </row>
    <row r="2965" spans="19:19">
      <c r="S2965" s="109"/>
    </row>
    <row r="2966" spans="19:19">
      <c r="S2966" s="109"/>
    </row>
    <row r="2967" spans="19:19">
      <c r="S2967" s="109"/>
    </row>
    <row r="2968" spans="19:19">
      <c r="S2968" s="109"/>
    </row>
    <row r="2969" spans="19:19">
      <c r="S2969" s="109"/>
    </row>
    <row r="2970" spans="19:19">
      <c r="S2970" s="109"/>
    </row>
    <row r="2971" spans="19:19">
      <c r="S2971" s="109"/>
    </row>
    <row r="2972" spans="19:19">
      <c r="S2972" s="109"/>
    </row>
    <row r="2973" spans="19:19">
      <c r="S2973" s="109"/>
    </row>
    <row r="2974" spans="19:19">
      <c r="S2974" s="109"/>
    </row>
    <row r="2975" spans="19:19">
      <c r="S2975" s="109"/>
    </row>
    <row r="2976" spans="19:19">
      <c r="S2976" s="109"/>
    </row>
    <row r="2977" spans="19:19">
      <c r="S2977" s="109"/>
    </row>
    <row r="2978" spans="19:19">
      <c r="S2978" s="109"/>
    </row>
    <row r="2979" spans="19:19">
      <c r="S2979" s="109"/>
    </row>
    <row r="2980" spans="19:19">
      <c r="S2980" s="109"/>
    </row>
    <row r="2981" spans="19:19">
      <c r="S2981" s="109"/>
    </row>
    <row r="2982" spans="19:19">
      <c r="S2982" s="109"/>
    </row>
    <row r="2983" spans="19:19">
      <c r="S2983" s="109"/>
    </row>
    <row r="2984" spans="19:19">
      <c r="S2984" s="109"/>
    </row>
    <row r="2985" spans="19:19">
      <c r="S2985" s="109"/>
    </row>
    <row r="2986" spans="19:19">
      <c r="S2986" s="109"/>
    </row>
    <row r="2987" spans="19:19">
      <c r="S2987" s="109"/>
    </row>
    <row r="2988" spans="19:19">
      <c r="S2988" s="109"/>
    </row>
    <row r="2989" spans="19:19">
      <c r="S2989" s="109"/>
    </row>
    <row r="2990" spans="19:19">
      <c r="S2990" s="109"/>
    </row>
    <row r="2991" spans="19:19">
      <c r="S2991" s="109"/>
    </row>
    <row r="2992" spans="19:19">
      <c r="S2992" s="109"/>
    </row>
    <row r="2993" spans="19:19">
      <c r="S2993" s="109"/>
    </row>
    <row r="2994" spans="19:19">
      <c r="S2994" s="109"/>
    </row>
    <row r="2995" spans="19:19">
      <c r="S2995" s="109"/>
    </row>
    <row r="2996" spans="19:19">
      <c r="S2996" s="109"/>
    </row>
    <row r="2997" spans="19:19">
      <c r="S2997" s="109"/>
    </row>
    <row r="2998" spans="19:19">
      <c r="S2998" s="109"/>
    </row>
    <row r="2999" spans="19:19">
      <c r="S2999" s="109"/>
    </row>
    <row r="3000" spans="19:19">
      <c r="S3000" s="109"/>
    </row>
    <row r="3001" spans="19:19">
      <c r="S3001" s="109"/>
    </row>
    <row r="3002" spans="19:19">
      <c r="S3002" s="109"/>
    </row>
    <row r="3003" spans="19:19">
      <c r="S3003" s="109"/>
    </row>
    <row r="3004" spans="19:19">
      <c r="S3004" s="109"/>
    </row>
    <row r="3005" spans="19:19">
      <c r="S3005" s="109"/>
    </row>
    <row r="3006" spans="19:19">
      <c r="S3006" s="109"/>
    </row>
    <row r="3007" spans="19:19">
      <c r="S3007" s="109"/>
    </row>
    <row r="3008" spans="19:19">
      <c r="S3008" s="109"/>
    </row>
    <row r="3009" spans="19:19">
      <c r="S3009" s="109"/>
    </row>
    <row r="3010" spans="19:19">
      <c r="S3010" s="109"/>
    </row>
    <row r="3011" spans="19:19">
      <c r="S3011" s="109"/>
    </row>
    <row r="3012" spans="19:19">
      <c r="S3012" s="109"/>
    </row>
    <row r="3013" spans="19:19">
      <c r="S3013" s="109"/>
    </row>
    <row r="3014" spans="19:19">
      <c r="S3014" s="109"/>
    </row>
    <row r="3015" spans="19:19">
      <c r="S3015" s="109"/>
    </row>
    <row r="3016" spans="19:19">
      <c r="S3016" s="109"/>
    </row>
    <row r="3017" spans="19:19">
      <c r="S3017" s="109"/>
    </row>
    <row r="3018" spans="19:19">
      <c r="S3018" s="109"/>
    </row>
    <row r="3019" spans="19:19">
      <c r="S3019" s="109"/>
    </row>
    <row r="3020" spans="19:19">
      <c r="S3020" s="109"/>
    </row>
    <row r="3021" spans="19:19">
      <c r="S3021" s="109"/>
    </row>
    <row r="3022" spans="19:19">
      <c r="S3022" s="109"/>
    </row>
    <row r="3023" spans="19:19">
      <c r="S3023" s="109"/>
    </row>
    <row r="3024" spans="19:19">
      <c r="S3024" s="109"/>
    </row>
    <row r="3025" spans="19:19">
      <c r="S3025" s="109"/>
    </row>
    <row r="3026" spans="19:19">
      <c r="S3026" s="109"/>
    </row>
    <row r="3027" spans="19:19">
      <c r="S3027" s="109"/>
    </row>
    <row r="3028" spans="19:19">
      <c r="S3028" s="109"/>
    </row>
    <row r="3029" spans="19:19">
      <c r="S3029" s="109"/>
    </row>
    <row r="3030" spans="19:19">
      <c r="S3030" s="109"/>
    </row>
    <row r="3031" spans="19:19">
      <c r="S3031" s="109"/>
    </row>
    <row r="3032" spans="19:19">
      <c r="S3032" s="109"/>
    </row>
    <row r="3033" spans="19:19">
      <c r="S3033" s="109"/>
    </row>
    <row r="3034" spans="19:19">
      <c r="S3034" s="109"/>
    </row>
    <row r="3035" spans="19:19">
      <c r="S3035" s="109"/>
    </row>
    <row r="3036" spans="19:19">
      <c r="S3036" s="109"/>
    </row>
    <row r="3037" spans="19:19">
      <c r="S3037" s="109"/>
    </row>
    <row r="3038" spans="19:19">
      <c r="S3038" s="109"/>
    </row>
    <row r="3039" spans="19:19">
      <c r="S3039" s="109"/>
    </row>
    <row r="3040" spans="19:19">
      <c r="S3040" s="109"/>
    </row>
    <row r="3041" spans="19:19">
      <c r="S3041" s="109"/>
    </row>
    <row r="3042" spans="19:19">
      <c r="S3042" s="109"/>
    </row>
    <row r="3043" spans="19:19">
      <c r="S3043" s="109"/>
    </row>
    <row r="3044" spans="19:19">
      <c r="S3044" s="109"/>
    </row>
    <row r="3045" spans="19:19">
      <c r="S3045" s="109"/>
    </row>
    <row r="3046" spans="19:19">
      <c r="S3046" s="109"/>
    </row>
    <row r="3047" spans="19:19">
      <c r="S3047" s="109"/>
    </row>
    <row r="3048" spans="19:19">
      <c r="S3048" s="109"/>
    </row>
    <row r="3049" spans="19:19">
      <c r="S3049" s="109"/>
    </row>
    <row r="3050" spans="19:19">
      <c r="S3050" s="109"/>
    </row>
    <row r="3051" spans="19:19">
      <c r="S3051" s="109"/>
    </row>
    <row r="3052" spans="19:19">
      <c r="S3052" s="109"/>
    </row>
    <row r="3053" spans="19:19">
      <c r="S3053" s="109"/>
    </row>
    <row r="3054" spans="19:19">
      <c r="S3054" s="109"/>
    </row>
    <row r="3055" spans="19:19">
      <c r="S3055" s="109"/>
    </row>
    <row r="3056" spans="19:19">
      <c r="S3056" s="109"/>
    </row>
    <row r="3057" spans="19:19">
      <c r="S3057" s="109"/>
    </row>
    <row r="3058" spans="19:19">
      <c r="S3058" s="109"/>
    </row>
    <row r="3059" spans="19:19">
      <c r="S3059" s="109"/>
    </row>
    <row r="3060" spans="19:19">
      <c r="S3060" s="109"/>
    </row>
    <row r="3061" spans="19:19">
      <c r="S3061" s="109"/>
    </row>
    <row r="3062" spans="19:19">
      <c r="S3062" s="109"/>
    </row>
    <row r="3063" spans="19:19">
      <c r="S3063" s="109"/>
    </row>
    <row r="3064" spans="19:19">
      <c r="S3064" s="109"/>
    </row>
    <row r="3065" spans="19:19">
      <c r="S3065" s="109"/>
    </row>
    <row r="3066" spans="19:19">
      <c r="S3066" s="109"/>
    </row>
    <row r="3067" spans="19:19">
      <c r="S3067" s="109"/>
    </row>
    <row r="3068" spans="19:19">
      <c r="S3068" s="109"/>
    </row>
    <row r="3069" spans="19:19">
      <c r="S3069" s="109"/>
    </row>
    <row r="3070" spans="19:19">
      <c r="S3070" s="109"/>
    </row>
    <row r="3071" spans="19:19">
      <c r="S3071" s="109"/>
    </row>
    <row r="3072" spans="19:19">
      <c r="S3072" s="109"/>
    </row>
    <row r="3073" spans="19:19">
      <c r="S3073" s="109"/>
    </row>
    <row r="3074" spans="19:19">
      <c r="S3074" s="109"/>
    </row>
    <row r="3075" spans="19:19">
      <c r="S3075" s="109"/>
    </row>
    <row r="3076" spans="19:19">
      <c r="S3076" s="109"/>
    </row>
    <row r="3077" spans="19:19">
      <c r="S3077" s="109"/>
    </row>
    <row r="3078" spans="19:19">
      <c r="S3078" s="109"/>
    </row>
    <row r="3079" spans="19:19">
      <c r="S3079" s="109"/>
    </row>
    <row r="3080" spans="19:19">
      <c r="S3080" s="109"/>
    </row>
    <row r="3081" spans="19:19">
      <c r="S3081" s="109"/>
    </row>
    <row r="3082" spans="19:19">
      <c r="S3082" s="109"/>
    </row>
    <row r="3083" spans="19:19">
      <c r="S3083" s="109"/>
    </row>
    <row r="3084" spans="19:19">
      <c r="S3084" s="109"/>
    </row>
    <row r="3085" spans="19:19">
      <c r="S3085" s="109"/>
    </row>
    <row r="3086" spans="19:19">
      <c r="S3086" s="109"/>
    </row>
    <row r="3087" spans="19:19">
      <c r="S3087" s="109"/>
    </row>
    <row r="3088" spans="19:19">
      <c r="S3088" s="109"/>
    </row>
    <row r="3089" spans="19:19">
      <c r="S3089" s="109"/>
    </row>
    <row r="3090" spans="19:19">
      <c r="S3090" s="109"/>
    </row>
    <row r="3091" spans="19:19">
      <c r="S3091" s="109"/>
    </row>
    <row r="3092" spans="19:19">
      <c r="S3092" s="109"/>
    </row>
    <row r="3093" spans="19:19">
      <c r="S3093" s="109"/>
    </row>
    <row r="3094" spans="19:19">
      <c r="S3094" s="109"/>
    </row>
    <row r="3095" spans="19:19">
      <c r="S3095" s="109"/>
    </row>
    <row r="3096" spans="19:19">
      <c r="S3096" s="109"/>
    </row>
    <row r="3097" spans="19:19">
      <c r="S3097" s="109"/>
    </row>
    <row r="3098" spans="19:19">
      <c r="S3098" s="109"/>
    </row>
    <row r="3099" spans="19:19">
      <c r="S3099" s="109"/>
    </row>
    <row r="3100" spans="19:19">
      <c r="S3100" s="109"/>
    </row>
    <row r="3101" spans="19:19">
      <c r="S3101" s="109"/>
    </row>
    <row r="3102" spans="19:19">
      <c r="S3102" s="109"/>
    </row>
    <row r="3103" spans="19:19">
      <c r="S3103" s="109"/>
    </row>
    <row r="3104" spans="19:19">
      <c r="S3104" s="109"/>
    </row>
    <row r="3105" spans="19:19">
      <c r="S3105" s="109"/>
    </row>
    <row r="3106" spans="19:19">
      <c r="S3106" s="109"/>
    </row>
    <row r="3107" spans="19:19">
      <c r="S3107" s="109"/>
    </row>
    <row r="3108" spans="19:19">
      <c r="S3108" s="109"/>
    </row>
    <row r="3109" spans="19:19">
      <c r="S3109" s="109"/>
    </row>
    <row r="3110" spans="19:19">
      <c r="S3110" s="109"/>
    </row>
    <row r="3111" spans="19:19">
      <c r="S3111" s="109"/>
    </row>
    <row r="3112" spans="19:19">
      <c r="S3112" s="109"/>
    </row>
    <row r="3113" spans="19:19">
      <c r="S3113" s="109"/>
    </row>
    <row r="3114" spans="19:19">
      <c r="S3114" s="109"/>
    </row>
    <row r="3115" spans="19:19">
      <c r="S3115" s="109"/>
    </row>
    <row r="3116" spans="19:19">
      <c r="S3116" s="109"/>
    </row>
    <row r="3117" spans="19:19">
      <c r="S3117" s="109"/>
    </row>
    <row r="3118" spans="19:19">
      <c r="S3118" s="109"/>
    </row>
    <row r="3119" spans="19:19">
      <c r="S3119" s="109"/>
    </row>
    <row r="3120" spans="19:19">
      <c r="S3120" s="109"/>
    </row>
    <row r="3121" spans="19:19">
      <c r="S3121" s="109"/>
    </row>
    <row r="3122" spans="19:19">
      <c r="S3122" s="109"/>
    </row>
    <row r="3123" spans="19:19">
      <c r="S3123" s="109"/>
    </row>
    <row r="3124" spans="19:19">
      <c r="S3124" s="109"/>
    </row>
    <row r="3125" spans="19:19">
      <c r="S3125" s="109"/>
    </row>
    <row r="3126" spans="19:19">
      <c r="S3126" s="109"/>
    </row>
    <row r="3127" spans="19:19">
      <c r="S3127" s="109"/>
    </row>
    <row r="3128" spans="19:19">
      <c r="S3128" s="109"/>
    </row>
    <row r="3129" spans="19:19">
      <c r="S3129" s="109"/>
    </row>
    <row r="3130" spans="19:19">
      <c r="S3130" s="109"/>
    </row>
    <row r="3131" spans="19:19">
      <c r="S3131" s="109"/>
    </row>
    <row r="3132" spans="19:19">
      <c r="S3132" s="109"/>
    </row>
    <row r="3133" spans="19:19">
      <c r="S3133" s="109"/>
    </row>
    <row r="3134" spans="19:19">
      <c r="S3134" s="109"/>
    </row>
    <row r="3135" spans="19:19">
      <c r="S3135" s="109"/>
    </row>
    <row r="3136" spans="19:19">
      <c r="S3136" s="109"/>
    </row>
    <row r="3137" spans="19:19">
      <c r="S3137" s="109"/>
    </row>
    <row r="3138" spans="19:19">
      <c r="S3138" s="109"/>
    </row>
    <row r="3139" spans="19:19">
      <c r="S3139" s="109"/>
    </row>
    <row r="3140" spans="19:19">
      <c r="S3140" s="109"/>
    </row>
    <row r="3141" spans="19:19">
      <c r="S3141" s="109"/>
    </row>
    <row r="3142" spans="19:19">
      <c r="S3142" s="109"/>
    </row>
    <row r="3143" spans="19:19">
      <c r="S3143" s="109"/>
    </row>
    <row r="3144" spans="19:19">
      <c r="S3144" s="109"/>
    </row>
    <row r="3145" spans="19:19">
      <c r="S3145" s="109"/>
    </row>
    <row r="3146" spans="19:19">
      <c r="S3146" s="109"/>
    </row>
    <row r="3147" spans="19:19">
      <c r="S3147" s="109"/>
    </row>
    <row r="3148" spans="19:19">
      <c r="S3148" s="109"/>
    </row>
    <row r="3149" spans="19:19">
      <c r="S3149" s="109"/>
    </row>
    <row r="3150" spans="19:19">
      <c r="S3150" s="109"/>
    </row>
    <row r="3151" spans="19:19">
      <c r="S3151" s="109"/>
    </row>
    <row r="3152" spans="19:19">
      <c r="S3152" s="109"/>
    </row>
    <row r="3153" spans="19:19">
      <c r="S3153" s="109"/>
    </row>
    <row r="3154" spans="19:19">
      <c r="S3154" s="109"/>
    </row>
    <row r="3155" spans="19:19">
      <c r="S3155" s="109"/>
    </row>
    <row r="3156" spans="19:19">
      <c r="S3156" s="109"/>
    </row>
    <row r="3157" spans="19:19">
      <c r="S3157" s="109"/>
    </row>
    <row r="3158" spans="19:19">
      <c r="S3158" s="109"/>
    </row>
    <row r="3159" spans="19:19">
      <c r="S3159" s="109"/>
    </row>
    <row r="3160" spans="19:19">
      <c r="S3160" s="109"/>
    </row>
    <row r="3161" spans="19:19">
      <c r="S3161" s="109"/>
    </row>
    <row r="3162" spans="19:19">
      <c r="S3162" s="109"/>
    </row>
    <row r="3163" spans="19:19">
      <c r="S3163" s="109"/>
    </row>
    <row r="3164" spans="19:19">
      <c r="S3164" s="109"/>
    </row>
    <row r="3165" spans="19:19">
      <c r="S3165" s="109"/>
    </row>
    <row r="3166" spans="19:19">
      <c r="S3166" s="109"/>
    </row>
    <row r="3167" spans="19:19">
      <c r="S3167" s="109"/>
    </row>
    <row r="3168" spans="19:19">
      <c r="S3168" s="109"/>
    </row>
    <row r="3169" spans="19:19">
      <c r="S3169" s="109"/>
    </row>
    <row r="3170" spans="19:19">
      <c r="S3170" s="109"/>
    </row>
    <row r="3171" spans="19:19">
      <c r="S3171" s="109"/>
    </row>
    <row r="3172" spans="19:19">
      <c r="S3172" s="109"/>
    </row>
    <row r="3173" spans="19:19">
      <c r="S3173" s="109"/>
    </row>
    <row r="3174" spans="19:19">
      <c r="S3174" s="109"/>
    </row>
    <row r="3175" spans="19:19">
      <c r="S3175" s="109"/>
    </row>
    <row r="3176" spans="19:19">
      <c r="S3176" s="109"/>
    </row>
    <row r="3177" spans="19:19">
      <c r="S3177" s="109"/>
    </row>
    <row r="3178" spans="19:19">
      <c r="S3178" s="109"/>
    </row>
    <row r="3179" spans="19:19">
      <c r="S3179" s="109"/>
    </row>
    <row r="3180" spans="19:19">
      <c r="S3180" s="109"/>
    </row>
    <row r="3181" spans="19:19">
      <c r="S3181" s="109"/>
    </row>
    <row r="3182" spans="19:19">
      <c r="S3182" s="109"/>
    </row>
    <row r="3183" spans="19:19">
      <c r="S3183" s="109"/>
    </row>
    <row r="3184" spans="19:19">
      <c r="S3184" s="109"/>
    </row>
    <row r="3185" spans="19:19">
      <c r="S3185" s="109"/>
    </row>
    <row r="3186" spans="19:19">
      <c r="S3186" s="109"/>
    </row>
    <row r="3187" spans="19:19">
      <c r="S3187" s="109"/>
    </row>
    <row r="3188" spans="19:19">
      <c r="S3188" s="109"/>
    </row>
    <row r="3189" spans="19:19">
      <c r="S3189" s="109"/>
    </row>
    <row r="3190" spans="19:19">
      <c r="S3190" s="109"/>
    </row>
    <row r="3191" spans="19:19">
      <c r="S3191" s="109"/>
    </row>
    <row r="3192" spans="19:19">
      <c r="S3192" s="109"/>
    </row>
    <row r="3193" spans="19:19">
      <c r="S3193" s="109"/>
    </row>
    <row r="3194" spans="19:19">
      <c r="S3194" s="109"/>
    </row>
    <row r="3195" spans="19:19">
      <c r="S3195" s="109"/>
    </row>
    <row r="3196" spans="19:19">
      <c r="S3196" s="109"/>
    </row>
    <row r="3197" spans="19:19">
      <c r="S3197" s="109"/>
    </row>
    <row r="3198" spans="19:19">
      <c r="S3198" s="109"/>
    </row>
    <row r="3199" spans="19:19">
      <c r="S3199" s="109"/>
    </row>
    <row r="3200" spans="19:19">
      <c r="S3200" s="109"/>
    </row>
    <row r="3201" spans="19:19">
      <c r="S3201" s="109"/>
    </row>
    <row r="3202" spans="19:19">
      <c r="S3202" s="109"/>
    </row>
    <row r="3203" spans="19:19">
      <c r="S3203" s="109"/>
    </row>
    <row r="3204" spans="19:19">
      <c r="S3204" s="109"/>
    </row>
    <row r="3205" spans="19:19">
      <c r="S3205" s="109"/>
    </row>
    <row r="3206" spans="19:19">
      <c r="S3206" s="109"/>
    </row>
    <row r="3207" spans="19:19">
      <c r="S3207" s="109"/>
    </row>
    <row r="3208" spans="19:19">
      <c r="S3208" s="109"/>
    </row>
    <row r="3209" spans="19:19">
      <c r="S3209" s="109"/>
    </row>
    <row r="3210" spans="19:19">
      <c r="S3210" s="109"/>
    </row>
    <row r="3211" spans="19:19">
      <c r="S3211" s="109"/>
    </row>
    <row r="3212" spans="19:19">
      <c r="S3212" s="109"/>
    </row>
    <row r="3213" spans="19:19">
      <c r="S3213" s="109"/>
    </row>
    <row r="3214" spans="19:19">
      <c r="S3214" s="109"/>
    </row>
    <row r="3215" spans="19:19">
      <c r="S3215" s="109"/>
    </row>
    <row r="3216" spans="19:19">
      <c r="S3216" s="109"/>
    </row>
    <row r="3217" spans="19:19">
      <c r="S3217" s="109"/>
    </row>
    <row r="3218" spans="19:19">
      <c r="S3218" s="109"/>
    </row>
    <row r="3219" spans="19:19">
      <c r="S3219" s="109"/>
    </row>
    <row r="3220" spans="19:19">
      <c r="S3220" s="109"/>
    </row>
    <row r="3221" spans="19:19">
      <c r="S3221" s="109"/>
    </row>
    <row r="3222" spans="19:19">
      <c r="S3222" s="109"/>
    </row>
    <row r="3223" spans="19:19">
      <c r="S3223" s="109"/>
    </row>
    <row r="3224" spans="19:19">
      <c r="S3224" s="109"/>
    </row>
    <row r="3225" spans="19:19">
      <c r="S3225" s="109"/>
    </row>
    <row r="3226" spans="19:19">
      <c r="S3226" s="109"/>
    </row>
    <row r="3227" spans="19:19">
      <c r="S3227" s="109"/>
    </row>
    <row r="3228" spans="19:19">
      <c r="S3228" s="109"/>
    </row>
    <row r="3229" spans="19:19">
      <c r="S3229" s="109"/>
    </row>
    <row r="3230" spans="19:19">
      <c r="S3230" s="109"/>
    </row>
    <row r="3231" spans="19:19">
      <c r="S3231" s="109"/>
    </row>
    <row r="3232" spans="19:19">
      <c r="S3232" s="109"/>
    </row>
    <row r="3233" spans="19:19">
      <c r="S3233" s="109"/>
    </row>
    <row r="3234" spans="19:19">
      <c r="S3234" s="109"/>
    </row>
    <row r="3235" spans="19:19">
      <c r="S3235" s="109"/>
    </row>
    <row r="3236" spans="19:19">
      <c r="S3236" s="109"/>
    </row>
    <row r="3237" spans="19:19">
      <c r="S3237" s="109"/>
    </row>
    <row r="3238" spans="19:19">
      <c r="S3238" s="109"/>
    </row>
    <row r="3239" spans="19:19">
      <c r="S3239" s="109"/>
    </row>
    <row r="3240" spans="19:19">
      <c r="S3240" s="109"/>
    </row>
    <row r="3241" spans="19:19">
      <c r="S3241" s="109"/>
    </row>
    <row r="3242" spans="19:19">
      <c r="S3242" s="109"/>
    </row>
    <row r="3243" spans="19:19">
      <c r="S3243" s="109"/>
    </row>
    <row r="3244" spans="19:19">
      <c r="S3244" s="109"/>
    </row>
    <row r="3245" spans="19:19">
      <c r="S3245" s="109"/>
    </row>
    <row r="3246" spans="19:19">
      <c r="S3246" s="109"/>
    </row>
    <row r="3247" spans="19:19">
      <c r="S3247" s="109"/>
    </row>
    <row r="3248" spans="19:19">
      <c r="S3248" s="109"/>
    </row>
    <row r="3249" spans="19:19">
      <c r="S3249" s="109"/>
    </row>
    <row r="3250" spans="19:19">
      <c r="S3250" s="109"/>
    </row>
    <row r="3251" spans="19:19">
      <c r="S3251" s="109"/>
    </row>
    <row r="3252" spans="19:19">
      <c r="S3252" s="109"/>
    </row>
    <row r="3253" spans="19:19">
      <c r="S3253" s="109"/>
    </row>
    <row r="3254" spans="19:19">
      <c r="S3254" s="109"/>
    </row>
    <row r="3255" spans="19:19">
      <c r="S3255" s="109"/>
    </row>
    <row r="3256" spans="19:19">
      <c r="S3256" s="109"/>
    </row>
    <row r="3257" spans="19:19">
      <c r="S3257" s="109"/>
    </row>
    <row r="3258" spans="19:19">
      <c r="S3258" s="109"/>
    </row>
    <row r="3259" spans="19:19">
      <c r="S3259" s="109"/>
    </row>
    <row r="3260" spans="19:19">
      <c r="S3260" s="109"/>
    </row>
    <row r="3261" spans="19:19">
      <c r="S3261" s="109"/>
    </row>
    <row r="3262" spans="19:19">
      <c r="S3262" s="109"/>
    </row>
    <row r="3263" spans="19:19">
      <c r="S3263" s="109"/>
    </row>
    <row r="3264" spans="19:19">
      <c r="S3264" s="109"/>
    </row>
    <row r="3265" spans="19:19">
      <c r="S3265" s="109"/>
    </row>
    <row r="3266" spans="19:19">
      <c r="S3266" s="109"/>
    </row>
    <row r="3267" spans="19:19">
      <c r="S3267" s="109"/>
    </row>
    <row r="3268" spans="19:19">
      <c r="S3268" s="109"/>
    </row>
    <row r="3269" spans="19:19">
      <c r="S3269" s="109"/>
    </row>
    <row r="3270" spans="19:19">
      <c r="S3270" s="109"/>
    </row>
    <row r="3271" spans="19:19">
      <c r="S3271" s="109"/>
    </row>
    <row r="3272" spans="19:19">
      <c r="S3272" s="109"/>
    </row>
    <row r="3273" spans="19:19">
      <c r="S3273" s="109"/>
    </row>
    <row r="3274" spans="19:19">
      <c r="S3274" s="109"/>
    </row>
    <row r="3275" spans="19:19">
      <c r="S3275" s="109"/>
    </row>
    <row r="3276" spans="19:19">
      <c r="S3276" s="109"/>
    </row>
    <row r="3277" spans="19:19">
      <c r="S3277" s="109"/>
    </row>
    <row r="3278" spans="19:19">
      <c r="S3278" s="109"/>
    </row>
    <row r="3279" spans="19:19">
      <c r="S3279" s="109"/>
    </row>
    <row r="3280" spans="19:19">
      <c r="S3280" s="109"/>
    </row>
    <row r="3281" spans="19:19">
      <c r="S3281" s="109"/>
    </row>
    <row r="3282" spans="19:19">
      <c r="S3282" s="109"/>
    </row>
    <row r="3283" spans="19:19">
      <c r="S3283" s="109"/>
    </row>
    <row r="3284" spans="19:19">
      <c r="S3284" s="109"/>
    </row>
    <row r="3285" spans="19:19">
      <c r="S3285" s="109"/>
    </row>
    <row r="3286" spans="19:19">
      <c r="S3286" s="109"/>
    </row>
    <row r="3287" spans="19:19">
      <c r="S3287" s="109"/>
    </row>
    <row r="3288" spans="19:19">
      <c r="S3288" s="109"/>
    </row>
    <row r="3289" spans="19:19">
      <c r="S3289" s="109"/>
    </row>
    <row r="3290" spans="19:19">
      <c r="S3290" s="109"/>
    </row>
    <row r="3291" spans="19:19">
      <c r="S3291" s="109"/>
    </row>
    <row r="3292" spans="19:19">
      <c r="S3292" s="109"/>
    </row>
    <row r="3293" spans="19:19">
      <c r="S3293" s="109"/>
    </row>
    <row r="3294" spans="19:19">
      <c r="S3294" s="109"/>
    </row>
    <row r="3295" spans="19:19">
      <c r="S3295" s="109"/>
    </row>
    <row r="3296" spans="19:19">
      <c r="S3296" s="109"/>
    </row>
    <row r="3297" spans="19:19">
      <c r="S3297" s="109"/>
    </row>
    <row r="3298" spans="19:19">
      <c r="S3298" s="109"/>
    </row>
    <row r="3299" spans="19:19">
      <c r="S3299" s="109"/>
    </row>
    <row r="3300" spans="19:19">
      <c r="S3300" s="109"/>
    </row>
    <row r="3301" spans="19:19">
      <c r="S3301" s="109"/>
    </row>
    <row r="3302" spans="19:19">
      <c r="S3302" s="109"/>
    </row>
    <row r="3303" spans="19:19">
      <c r="S3303" s="109"/>
    </row>
    <row r="3304" spans="19:19">
      <c r="S3304" s="109"/>
    </row>
    <row r="3305" spans="19:19">
      <c r="S3305" s="109"/>
    </row>
    <row r="3306" spans="19:19">
      <c r="S3306" s="109"/>
    </row>
    <row r="3307" spans="19:19">
      <c r="S3307" s="109"/>
    </row>
    <row r="3308" spans="19:19">
      <c r="S3308" s="109"/>
    </row>
    <row r="3309" spans="19:19">
      <c r="S3309" s="109"/>
    </row>
    <row r="3310" spans="19:19">
      <c r="S3310" s="109"/>
    </row>
    <row r="3311" spans="19:19">
      <c r="S3311" s="109"/>
    </row>
    <row r="3312" spans="19:19">
      <c r="S3312" s="109"/>
    </row>
    <row r="3313" spans="19:19">
      <c r="S3313" s="109"/>
    </row>
    <row r="3314" spans="19:19">
      <c r="S3314" s="109"/>
    </row>
    <row r="3315" spans="19:19">
      <c r="S3315" s="109"/>
    </row>
    <row r="3316" spans="19:19">
      <c r="S3316" s="109"/>
    </row>
    <row r="3317" spans="19:19">
      <c r="S3317" s="109"/>
    </row>
    <row r="3318" spans="19:19">
      <c r="S3318" s="109"/>
    </row>
    <row r="3319" spans="19:19">
      <c r="S3319" s="109"/>
    </row>
    <row r="3320" spans="19:19">
      <c r="S3320" s="109"/>
    </row>
    <row r="3321" spans="19:19">
      <c r="S3321" s="109"/>
    </row>
    <row r="3322" spans="19:19">
      <c r="S3322" s="109"/>
    </row>
    <row r="3323" spans="19:19">
      <c r="S3323" s="109"/>
    </row>
    <row r="3324" spans="19:19">
      <c r="S3324" s="109"/>
    </row>
    <row r="3325" spans="19:19">
      <c r="S3325" s="109"/>
    </row>
    <row r="3326" spans="19:19">
      <c r="S3326" s="109"/>
    </row>
    <row r="3327" spans="19:19">
      <c r="S3327" s="109"/>
    </row>
    <row r="3328" spans="19:19">
      <c r="S3328" s="109"/>
    </row>
    <row r="3329" spans="19:19">
      <c r="S3329" s="109"/>
    </row>
    <row r="3330" spans="19:19">
      <c r="S3330" s="109"/>
    </row>
    <row r="3331" spans="19:19">
      <c r="S3331" s="109"/>
    </row>
    <row r="3332" spans="19:19">
      <c r="S3332" s="109"/>
    </row>
    <row r="3333" spans="19:19">
      <c r="S3333" s="109"/>
    </row>
    <row r="3334" spans="19:19">
      <c r="S3334" s="109"/>
    </row>
    <row r="3335" spans="19:19">
      <c r="S3335" s="109"/>
    </row>
    <row r="3336" spans="19:19">
      <c r="S3336" s="109"/>
    </row>
    <row r="3337" spans="19:19">
      <c r="S3337" s="109"/>
    </row>
    <row r="3338" spans="19:19">
      <c r="S3338" s="109"/>
    </row>
    <row r="3339" spans="19:19">
      <c r="S3339" s="109"/>
    </row>
    <row r="3340" spans="19:19">
      <c r="S3340" s="109"/>
    </row>
    <row r="3341" spans="19:19">
      <c r="S3341" s="109"/>
    </row>
    <row r="3342" spans="19:19">
      <c r="S3342" s="109"/>
    </row>
    <row r="3343" spans="19:19">
      <c r="S3343" s="109"/>
    </row>
    <row r="3344" spans="19:19">
      <c r="S3344" s="109"/>
    </row>
    <row r="3345" spans="19:19">
      <c r="S3345" s="109"/>
    </row>
    <row r="3346" spans="19:19">
      <c r="S3346" s="109"/>
    </row>
    <row r="3347" spans="19:19">
      <c r="S3347" s="109"/>
    </row>
    <row r="3348" spans="19:19">
      <c r="S3348" s="109"/>
    </row>
    <row r="3349" spans="19:19">
      <c r="S3349" s="109"/>
    </row>
    <row r="3350" spans="19:19">
      <c r="S3350" s="109"/>
    </row>
    <row r="3351" spans="19:19">
      <c r="S3351" s="109"/>
    </row>
    <row r="3352" spans="19:19">
      <c r="S3352" s="109"/>
    </row>
    <row r="3353" spans="19:19">
      <c r="S3353" s="109"/>
    </row>
    <row r="3354" spans="19:19">
      <c r="S3354" s="109"/>
    </row>
    <row r="3355" spans="19:19">
      <c r="S3355" s="109"/>
    </row>
    <row r="3356" spans="19:19">
      <c r="S3356" s="109"/>
    </row>
    <row r="3357" spans="19:19">
      <c r="S3357" s="109"/>
    </row>
    <row r="3358" spans="19:19">
      <c r="S3358" s="109"/>
    </row>
    <row r="3359" spans="19:19">
      <c r="S3359" s="109"/>
    </row>
    <row r="3360" spans="19:19">
      <c r="S3360" s="109"/>
    </row>
    <row r="3361" spans="19:19">
      <c r="S3361" s="109"/>
    </row>
    <row r="3362" spans="19:19">
      <c r="S3362" s="109"/>
    </row>
    <row r="3363" spans="19:19">
      <c r="S3363" s="109"/>
    </row>
    <row r="3364" spans="19:19">
      <c r="S3364" s="109"/>
    </row>
    <row r="3365" spans="19:19">
      <c r="S3365" s="109"/>
    </row>
    <row r="3366" spans="19:19">
      <c r="S3366" s="109"/>
    </row>
    <row r="3367" spans="19:19">
      <c r="S3367" s="109"/>
    </row>
    <row r="3368" spans="19:19">
      <c r="S3368" s="109"/>
    </row>
    <row r="3369" spans="19:19">
      <c r="S3369" s="109"/>
    </row>
    <row r="3370" spans="19:19">
      <c r="S3370" s="109"/>
    </row>
    <row r="3371" spans="19:19">
      <c r="S3371" s="109"/>
    </row>
    <row r="3372" spans="19:19">
      <c r="S3372" s="109"/>
    </row>
    <row r="3373" spans="19:19">
      <c r="S3373" s="109"/>
    </row>
    <row r="3374" spans="19:19">
      <c r="S3374" s="109"/>
    </row>
    <row r="3375" spans="19:19">
      <c r="S3375" s="109"/>
    </row>
    <row r="3376" spans="19:19">
      <c r="S3376" s="109"/>
    </row>
    <row r="3377" spans="19:19">
      <c r="S3377" s="109"/>
    </row>
    <row r="3378" spans="19:19">
      <c r="S3378" s="109"/>
    </row>
    <row r="3379" spans="19:19">
      <c r="S3379" s="109"/>
    </row>
    <row r="3380" spans="19:19">
      <c r="S3380" s="109"/>
    </row>
    <row r="3381" spans="19:19">
      <c r="S3381" s="109"/>
    </row>
    <row r="3382" spans="19:19">
      <c r="S3382" s="109"/>
    </row>
    <row r="3383" spans="19:19">
      <c r="S3383" s="109"/>
    </row>
    <row r="3384" spans="19:19">
      <c r="S3384" s="109"/>
    </row>
    <row r="3385" spans="19:19">
      <c r="S3385" s="109"/>
    </row>
    <row r="3386" spans="19:19">
      <c r="S3386" s="109"/>
    </row>
    <row r="3387" spans="19:19">
      <c r="S3387" s="109"/>
    </row>
    <row r="3388" spans="19:19">
      <c r="S3388" s="109"/>
    </row>
    <row r="3389" spans="19:19">
      <c r="S3389" s="109"/>
    </row>
    <row r="3390" spans="19:19">
      <c r="S3390" s="109"/>
    </row>
    <row r="3391" spans="19:19">
      <c r="S3391" s="109"/>
    </row>
    <row r="3392" spans="19:19">
      <c r="S3392" s="109"/>
    </row>
    <row r="3393" spans="19:19">
      <c r="S3393" s="109"/>
    </row>
    <row r="3394" spans="19:19">
      <c r="S3394" s="109"/>
    </row>
    <row r="3395" spans="19:19">
      <c r="S3395" s="109"/>
    </row>
    <row r="3396" spans="19:19">
      <c r="S3396" s="109"/>
    </row>
    <row r="3397" spans="19:19">
      <c r="S3397" s="109"/>
    </row>
    <row r="3398" spans="19:19">
      <c r="S3398" s="109"/>
    </row>
    <row r="3399" spans="19:19">
      <c r="S3399" s="109"/>
    </row>
    <row r="3400" spans="19:19">
      <c r="S3400" s="109"/>
    </row>
    <row r="3401" spans="19:19">
      <c r="S3401" s="109"/>
    </row>
    <row r="3402" spans="19:19">
      <c r="S3402" s="109"/>
    </row>
    <row r="3403" spans="19:19">
      <c r="S3403" s="109"/>
    </row>
    <row r="3404" spans="19:19">
      <c r="S3404" s="109"/>
    </row>
    <row r="3405" spans="19:19">
      <c r="S3405" s="109"/>
    </row>
    <row r="3406" spans="19:19">
      <c r="S3406" s="109"/>
    </row>
    <row r="3407" spans="19:19">
      <c r="S3407" s="109"/>
    </row>
    <row r="3408" spans="19:19">
      <c r="S3408" s="109"/>
    </row>
    <row r="3409" spans="19:19">
      <c r="S3409" s="109"/>
    </row>
    <row r="3410" spans="19:19">
      <c r="S3410" s="109"/>
    </row>
    <row r="3411" spans="19:19">
      <c r="S3411" s="109"/>
    </row>
    <row r="3412" spans="19:19">
      <c r="S3412" s="109"/>
    </row>
    <row r="3413" spans="19:19">
      <c r="S3413" s="109"/>
    </row>
    <row r="3414" spans="19:19">
      <c r="S3414" s="109"/>
    </row>
    <row r="3415" spans="19:19">
      <c r="S3415" s="109"/>
    </row>
    <row r="3416" spans="19:19">
      <c r="S3416" s="109"/>
    </row>
    <row r="3417" spans="19:19">
      <c r="S3417" s="109"/>
    </row>
    <row r="3418" spans="19:19">
      <c r="S3418" s="109"/>
    </row>
    <row r="3419" spans="19:19">
      <c r="S3419" s="109"/>
    </row>
    <row r="3420" spans="19:19">
      <c r="S3420" s="109"/>
    </row>
    <row r="3421" spans="19:19">
      <c r="S3421" s="109"/>
    </row>
    <row r="3422" spans="19:19">
      <c r="S3422" s="109"/>
    </row>
    <row r="3423" spans="19:19">
      <c r="S3423" s="109"/>
    </row>
    <row r="3424" spans="19:19">
      <c r="S3424" s="109"/>
    </row>
    <row r="3425" spans="19:19">
      <c r="S3425" s="109"/>
    </row>
    <row r="3426" spans="19:19">
      <c r="S3426" s="109"/>
    </row>
    <row r="3427" spans="19:19">
      <c r="S3427" s="109"/>
    </row>
    <row r="3428" spans="19:19">
      <c r="S3428" s="109"/>
    </row>
    <row r="3429" spans="19:19">
      <c r="S3429" s="109"/>
    </row>
    <row r="3430" spans="19:19">
      <c r="S3430" s="109"/>
    </row>
    <row r="3431" spans="19:19">
      <c r="S3431" s="109"/>
    </row>
    <row r="3432" spans="19:19">
      <c r="S3432" s="109"/>
    </row>
    <row r="3433" spans="19:19">
      <c r="S3433" s="109"/>
    </row>
    <row r="3434" spans="19:19">
      <c r="S3434" s="109"/>
    </row>
    <row r="3435" spans="19:19">
      <c r="S3435" s="109"/>
    </row>
    <row r="3436" spans="19:19">
      <c r="S3436" s="109"/>
    </row>
    <row r="3437" spans="19:19">
      <c r="S3437" s="109"/>
    </row>
    <row r="3438" spans="19:19">
      <c r="S3438" s="109"/>
    </row>
    <row r="3439" spans="19:19">
      <c r="S3439" s="109"/>
    </row>
    <row r="3440" spans="19:19">
      <c r="S3440" s="109"/>
    </row>
    <row r="3441" spans="19:19">
      <c r="S3441" s="109"/>
    </row>
    <row r="3442" spans="19:19">
      <c r="S3442" s="109"/>
    </row>
    <row r="3443" spans="19:19">
      <c r="S3443" s="109"/>
    </row>
    <row r="3444" spans="19:19">
      <c r="S3444" s="109"/>
    </row>
    <row r="3445" spans="19:19">
      <c r="S3445" s="109"/>
    </row>
    <row r="3446" spans="19:19">
      <c r="S3446" s="109"/>
    </row>
    <row r="3447" spans="19:19">
      <c r="S3447" s="109"/>
    </row>
    <row r="3448" spans="19:19">
      <c r="S3448" s="109"/>
    </row>
    <row r="3449" spans="19:19">
      <c r="S3449" s="109"/>
    </row>
    <row r="3450" spans="19:19">
      <c r="S3450" s="109"/>
    </row>
    <row r="3451" spans="19:19">
      <c r="S3451" s="109"/>
    </row>
    <row r="3452" spans="19:19">
      <c r="S3452" s="109"/>
    </row>
    <row r="3453" spans="19:19">
      <c r="S3453" s="109"/>
    </row>
    <row r="3454" spans="19:19">
      <c r="S3454" s="109"/>
    </row>
    <row r="3455" spans="19:19">
      <c r="S3455" s="109"/>
    </row>
    <row r="3456" spans="19:19">
      <c r="S3456" s="109"/>
    </row>
    <row r="3457" spans="19:19">
      <c r="S3457" s="109"/>
    </row>
    <row r="3458" spans="19:19">
      <c r="S3458" s="109"/>
    </row>
    <row r="3459" spans="19:19">
      <c r="S3459" s="109"/>
    </row>
    <row r="3460" spans="19:19">
      <c r="S3460" s="109"/>
    </row>
    <row r="3461" spans="19:19">
      <c r="S3461" s="109"/>
    </row>
    <row r="3462" spans="19:19">
      <c r="S3462" s="109"/>
    </row>
    <row r="3463" spans="19:19">
      <c r="S3463" s="109"/>
    </row>
    <row r="3464" spans="19:19">
      <c r="S3464" s="109"/>
    </row>
    <row r="3465" spans="19:19">
      <c r="S3465" s="109"/>
    </row>
    <row r="3466" spans="19:19">
      <c r="S3466" s="109"/>
    </row>
    <row r="3467" spans="19:19">
      <c r="S3467" s="109"/>
    </row>
    <row r="3468" spans="19:19">
      <c r="S3468" s="109"/>
    </row>
    <row r="3469" spans="19:19">
      <c r="S3469" s="109"/>
    </row>
    <row r="3470" spans="19:19">
      <c r="S3470" s="109"/>
    </row>
    <row r="3471" spans="19:19">
      <c r="S3471" s="109"/>
    </row>
    <row r="3472" spans="19:19">
      <c r="S3472" s="109"/>
    </row>
    <row r="3473" spans="19:19">
      <c r="S3473" s="109"/>
    </row>
    <row r="3474" spans="19:19">
      <c r="S3474" s="109"/>
    </row>
    <row r="3475" spans="19:19">
      <c r="S3475" s="109"/>
    </row>
    <row r="3476" spans="19:19">
      <c r="S3476" s="109"/>
    </row>
    <row r="3477" spans="19:19">
      <c r="S3477" s="109"/>
    </row>
    <row r="3478" spans="19:19">
      <c r="S3478" s="109"/>
    </row>
    <row r="3479" spans="19:19">
      <c r="S3479" s="109"/>
    </row>
    <row r="3480" spans="19:19">
      <c r="S3480" s="109"/>
    </row>
    <row r="3481" spans="19:19">
      <c r="S3481" s="109"/>
    </row>
    <row r="3482" spans="19:19">
      <c r="S3482" s="109"/>
    </row>
    <row r="3483" spans="19:19">
      <c r="S3483" s="109"/>
    </row>
    <row r="3484" spans="19:19">
      <c r="S3484" s="109"/>
    </row>
    <row r="3485" spans="19:19">
      <c r="S3485" s="109"/>
    </row>
    <row r="3486" spans="19:19">
      <c r="S3486" s="109"/>
    </row>
    <row r="3487" spans="19:19">
      <c r="S3487" s="109"/>
    </row>
    <row r="3488" spans="19:19">
      <c r="S3488" s="109"/>
    </row>
    <row r="3489" spans="19:19">
      <c r="S3489" s="109"/>
    </row>
    <row r="3490" spans="19:19">
      <c r="S3490" s="109"/>
    </row>
    <row r="3491" spans="19:19">
      <c r="S3491" s="109"/>
    </row>
    <row r="3492" spans="19:19">
      <c r="S3492" s="109"/>
    </row>
    <row r="3493" spans="19:19">
      <c r="S3493" s="109"/>
    </row>
    <row r="3494" spans="19:19">
      <c r="S3494" s="109"/>
    </row>
    <row r="3495" spans="19:19">
      <c r="S3495" s="109"/>
    </row>
    <row r="3496" spans="19:19">
      <c r="S3496" s="109"/>
    </row>
    <row r="3497" spans="19:19">
      <c r="S3497" s="109"/>
    </row>
    <row r="3498" spans="19:19">
      <c r="S3498" s="109"/>
    </row>
    <row r="3499" spans="19:19">
      <c r="S3499" s="109"/>
    </row>
    <row r="3500" spans="19:19">
      <c r="S3500" s="109"/>
    </row>
    <row r="3501" spans="19:19">
      <c r="S3501" s="109"/>
    </row>
    <row r="3502" spans="19:19">
      <c r="S3502" s="109"/>
    </row>
    <row r="3503" spans="19:19">
      <c r="S3503" s="109"/>
    </row>
    <row r="3504" spans="19:19">
      <c r="S3504" s="109"/>
    </row>
    <row r="3505" spans="19:19">
      <c r="S3505" s="109"/>
    </row>
    <row r="3506" spans="19:19">
      <c r="S3506" s="109"/>
    </row>
    <row r="3507" spans="19:19">
      <c r="S3507" s="109"/>
    </row>
    <row r="3508" spans="19:19">
      <c r="S3508" s="109"/>
    </row>
    <row r="3509" spans="19:19">
      <c r="S3509" s="109"/>
    </row>
    <row r="3510" spans="19:19">
      <c r="S3510" s="109"/>
    </row>
    <row r="3511" spans="19:19">
      <c r="S3511" s="109"/>
    </row>
    <row r="3512" spans="19:19">
      <c r="S3512" s="109"/>
    </row>
    <row r="3513" spans="19:19">
      <c r="S3513" s="109"/>
    </row>
    <row r="3514" spans="19:19">
      <c r="S3514" s="109"/>
    </row>
    <row r="3515" spans="19:19">
      <c r="S3515" s="109"/>
    </row>
    <row r="3516" spans="19:19">
      <c r="S3516" s="109"/>
    </row>
    <row r="3517" spans="19:19">
      <c r="S3517" s="109"/>
    </row>
    <row r="3518" spans="19:19">
      <c r="S3518" s="109"/>
    </row>
    <row r="3519" spans="19:19">
      <c r="S3519" s="109"/>
    </row>
    <row r="3520" spans="19:19">
      <c r="S3520" s="109"/>
    </row>
    <row r="3521" spans="19:19">
      <c r="S3521" s="109"/>
    </row>
    <row r="3522" spans="19:19">
      <c r="S3522" s="109"/>
    </row>
    <row r="3523" spans="19:19">
      <c r="S3523" s="109"/>
    </row>
    <row r="3524" spans="19:19">
      <c r="S3524" s="109"/>
    </row>
    <row r="3525" spans="19:19">
      <c r="S3525" s="109"/>
    </row>
    <row r="3526" spans="19:19">
      <c r="S3526" s="109"/>
    </row>
    <row r="3527" spans="19:19">
      <c r="S3527" s="109"/>
    </row>
    <row r="3528" spans="19:19">
      <c r="S3528" s="109"/>
    </row>
    <row r="3529" spans="19:19">
      <c r="S3529" s="109"/>
    </row>
    <row r="3530" spans="19:19">
      <c r="S3530" s="109"/>
    </row>
    <row r="3531" spans="19:19">
      <c r="S3531" s="109"/>
    </row>
    <row r="3532" spans="19:19">
      <c r="S3532" s="109"/>
    </row>
    <row r="3533" spans="19:19">
      <c r="S3533" s="109"/>
    </row>
    <row r="3534" spans="19:19">
      <c r="S3534" s="109"/>
    </row>
    <row r="3535" spans="19:19">
      <c r="S3535" s="109"/>
    </row>
    <row r="3536" spans="19:19">
      <c r="S3536" s="109"/>
    </row>
    <row r="3537" spans="19:19">
      <c r="S3537" s="109"/>
    </row>
    <row r="3538" spans="19:19">
      <c r="S3538" s="109"/>
    </row>
    <row r="3539" spans="19:19">
      <c r="S3539" s="109"/>
    </row>
    <row r="3540" spans="19:19">
      <c r="S3540" s="109"/>
    </row>
    <row r="3541" spans="19:19">
      <c r="S3541" s="109"/>
    </row>
    <row r="3542" spans="19:19">
      <c r="S3542" s="109"/>
    </row>
    <row r="3543" spans="19:19">
      <c r="S3543" s="109"/>
    </row>
    <row r="3544" spans="19:19">
      <c r="S3544" s="109"/>
    </row>
    <row r="3545" spans="19:19">
      <c r="S3545" s="109"/>
    </row>
    <row r="3546" spans="19:19">
      <c r="S3546" s="109"/>
    </row>
    <row r="3547" spans="19:19">
      <c r="S3547" s="109"/>
    </row>
    <row r="3548" spans="19:19">
      <c r="S3548" s="109"/>
    </row>
    <row r="3549" spans="19:19">
      <c r="S3549" s="109"/>
    </row>
    <row r="3550" spans="19:19">
      <c r="S3550" s="109"/>
    </row>
    <row r="3551" spans="19:19">
      <c r="S3551" s="109"/>
    </row>
    <row r="3552" spans="19:19">
      <c r="S3552" s="109"/>
    </row>
    <row r="3553" spans="19:19">
      <c r="S3553" s="109"/>
    </row>
    <row r="3554" spans="19:19">
      <c r="S3554" s="109"/>
    </row>
    <row r="3555" spans="19:19">
      <c r="S3555" s="109"/>
    </row>
    <row r="3556" spans="19:19">
      <c r="S3556" s="109"/>
    </row>
    <row r="3557" spans="19:19">
      <c r="S3557" s="109"/>
    </row>
    <row r="3558" spans="19:19">
      <c r="S3558" s="109"/>
    </row>
    <row r="3559" spans="19:19">
      <c r="S3559" s="109"/>
    </row>
    <row r="3560" spans="19:19">
      <c r="S3560" s="109"/>
    </row>
    <row r="3561" spans="19:19">
      <c r="S3561" s="109"/>
    </row>
    <row r="3562" spans="19:19">
      <c r="S3562" s="109"/>
    </row>
    <row r="3563" spans="19:19">
      <c r="S3563" s="109"/>
    </row>
    <row r="3564" spans="19:19">
      <c r="S3564" s="109"/>
    </row>
    <row r="3565" spans="19:19">
      <c r="S3565" s="109"/>
    </row>
    <row r="3566" spans="19:19">
      <c r="S3566" s="109"/>
    </row>
    <row r="3567" spans="19:19">
      <c r="S3567" s="109"/>
    </row>
    <row r="3568" spans="19:19">
      <c r="S3568" s="109"/>
    </row>
    <row r="3569" spans="19:19">
      <c r="S3569" s="109"/>
    </row>
    <row r="3570" spans="19:19">
      <c r="S3570" s="109"/>
    </row>
    <row r="3571" spans="19:19">
      <c r="S3571" s="109"/>
    </row>
    <row r="3572" spans="19:19">
      <c r="S3572" s="109"/>
    </row>
    <row r="3573" spans="19:19">
      <c r="S3573" s="109"/>
    </row>
    <row r="3574" spans="19:19">
      <c r="S3574" s="109"/>
    </row>
    <row r="3575" spans="19:19">
      <c r="S3575" s="109"/>
    </row>
    <row r="3576" spans="19:19">
      <c r="S3576" s="109"/>
    </row>
    <row r="3577" spans="19:19">
      <c r="S3577" s="109"/>
    </row>
    <row r="3578" spans="19:19">
      <c r="S3578" s="109"/>
    </row>
    <row r="3579" spans="19:19">
      <c r="S3579" s="109"/>
    </row>
    <row r="3580" spans="19:19">
      <c r="S3580" s="109"/>
    </row>
    <row r="3581" spans="19:19">
      <c r="S3581" s="109"/>
    </row>
    <row r="3582" spans="19:19">
      <c r="S3582" s="109"/>
    </row>
    <row r="3583" spans="19:19">
      <c r="S3583" s="109"/>
    </row>
    <row r="3584" spans="19:19">
      <c r="S3584" s="109"/>
    </row>
    <row r="3585" spans="19:19">
      <c r="S3585" s="109"/>
    </row>
    <row r="3586" spans="19:19">
      <c r="S3586" s="109"/>
    </row>
    <row r="3587" spans="19:19">
      <c r="S3587" s="109"/>
    </row>
    <row r="3588" spans="19:19">
      <c r="S3588" s="109"/>
    </row>
    <row r="3589" spans="19:19">
      <c r="S3589" s="109"/>
    </row>
    <row r="3590" spans="19:19">
      <c r="S3590" s="109"/>
    </row>
    <row r="3591" spans="19:19">
      <c r="S3591" s="109"/>
    </row>
    <row r="3592" spans="19:19">
      <c r="S3592" s="109"/>
    </row>
    <row r="3593" spans="19:19">
      <c r="S3593" s="109"/>
    </row>
    <row r="3594" spans="19:19">
      <c r="S3594" s="109"/>
    </row>
    <row r="3595" spans="19:19">
      <c r="S3595" s="109"/>
    </row>
    <row r="3596" spans="19:19">
      <c r="S3596" s="109"/>
    </row>
    <row r="3597" spans="19:19">
      <c r="S3597" s="109"/>
    </row>
    <row r="3598" spans="19:19">
      <c r="S3598" s="109"/>
    </row>
    <row r="3599" spans="19:19">
      <c r="S3599" s="109"/>
    </row>
    <row r="3600" spans="19:19">
      <c r="S3600" s="109"/>
    </row>
    <row r="3601" spans="19:19">
      <c r="S3601" s="109"/>
    </row>
    <row r="3602" spans="19:19">
      <c r="S3602" s="109"/>
    </row>
    <row r="3603" spans="19:19">
      <c r="S3603" s="109"/>
    </row>
    <row r="3604" spans="19:19">
      <c r="S3604" s="109"/>
    </row>
    <row r="3605" spans="19:19">
      <c r="S3605" s="109"/>
    </row>
    <row r="3606" spans="19:19">
      <c r="S3606" s="109"/>
    </row>
    <row r="3607" spans="19:19">
      <c r="S3607" s="109"/>
    </row>
    <row r="3608" spans="19:19">
      <c r="S3608" s="109"/>
    </row>
    <row r="3609" spans="19:19">
      <c r="S3609" s="109"/>
    </row>
    <row r="3610" spans="19:19">
      <c r="S3610" s="109"/>
    </row>
    <row r="3611" spans="19:19">
      <c r="S3611" s="109"/>
    </row>
    <row r="3612" spans="19:19">
      <c r="S3612" s="109"/>
    </row>
    <row r="3613" spans="19:19">
      <c r="S3613" s="109"/>
    </row>
    <row r="3614" spans="19:19">
      <c r="S3614" s="109"/>
    </row>
    <row r="3615" spans="19:19">
      <c r="S3615" s="109"/>
    </row>
    <row r="3616" spans="19:19">
      <c r="S3616" s="109"/>
    </row>
    <row r="3617" spans="19:19">
      <c r="S3617" s="109"/>
    </row>
    <row r="3618" spans="19:19">
      <c r="S3618" s="109"/>
    </row>
    <row r="3619" spans="19:19">
      <c r="S3619" s="109"/>
    </row>
    <row r="3620" spans="19:19">
      <c r="S3620" s="109"/>
    </row>
    <row r="3621" spans="19:19">
      <c r="S3621" s="109"/>
    </row>
    <row r="3622" spans="19:19">
      <c r="S3622" s="109"/>
    </row>
    <row r="3623" spans="19:19">
      <c r="S3623" s="109"/>
    </row>
    <row r="3624" spans="19:19">
      <c r="S3624" s="109"/>
    </row>
    <row r="3625" spans="19:19">
      <c r="S3625" s="109"/>
    </row>
    <row r="3626" spans="19:19">
      <c r="S3626" s="109"/>
    </row>
    <row r="3627" spans="19:19">
      <c r="S3627" s="109"/>
    </row>
    <row r="3628" spans="19:19">
      <c r="S3628" s="109"/>
    </row>
    <row r="3629" spans="19:19">
      <c r="S3629" s="109"/>
    </row>
    <row r="3630" spans="19:19">
      <c r="S3630" s="109"/>
    </row>
    <row r="3631" spans="19:19">
      <c r="S3631" s="109"/>
    </row>
    <row r="3632" spans="19:19">
      <c r="S3632" s="109"/>
    </row>
    <row r="3633" spans="19:19">
      <c r="S3633" s="109"/>
    </row>
    <row r="3634" spans="19:19">
      <c r="S3634" s="109"/>
    </row>
    <row r="3635" spans="19:19">
      <c r="S3635" s="109"/>
    </row>
    <row r="3636" spans="19:19">
      <c r="S3636" s="109"/>
    </row>
    <row r="3637" spans="19:19">
      <c r="S3637" s="109"/>
    </row>
    <row r="3638" spans="19:19">
      <c r="S3638" s="109"/>
    </row>
    <row r="3639" spans="19:19">
      <c r="S3639" s="109"/>
    </row>
    <row r="3640" spans="19:19">
      <c r="S3640" s="109"/>
    </row>
    <row r="3641" spans="19:19">
      <c r="S3641" s="109"/>
    </row>
    <row r="3642" spans="19:19">
      <c r="S3642" s="109"/>
    </row>
    <row r="3643" spans="19:19">
      <c r="S3643" s="109"/>
    </row>
    <row r="3644" spans="19:19">
      <c r="S3644" s="109"/>
    </row>
    <row r="3645" spans="19:19">
      <c r="S3645" s="109"/>
    </row>
    <row r="3646" spans="19:19">
      <c r="S3646" s="109"/>
    </row>
    <row r="3647" spans="19:19">
      <c r="S3647" s="109"/>
    </row>
    <row r="3648" spans="19:19">
      <c r="S3648" s="109"/>
    </row>
    <row r="3649" spans="19:19">
      <c r="S3649" s="109"/>
    </row>
    <row r="3650" spans="19:19">
      <c r="S3650" s="109"/>
    </row>
    <row r="3651" spans="19:19">
      <c r="S3651" s="109"/>
    </row>
    <row r="3652" spans="19:19">
      <c r="S3652" s="109"/>
    </row>
    <row r="3653" spans="19:19">
      <c r="S3653" s="109"/>
    </row>
    <row r="3654" spans="19:19">
      <c r="S3654" s="109"/>
    </row>
    <row r="3655" spans="19:19">
      <c r="S3655" s="109"/>
    </row>
    <row r="3656" spans="19:19">
      <c r="S3656" s="109"/>
    </row>
    <row r="3657" spans="19:19">
      <c r="S3657" s="109"/>
    </row>
    <row r="3658" spans="19:19">
      <c r="S3658" s="109"/>
    </row>
    <row r="3659" spans="19:19">
      <c r="S3659" s="109"/>
    </row>
    <row r="3660" spans="19:19">
      <c r="S3660" s="109"/>
    </row>
    <row r="3661" spans="19:19">
      <c r="S3661" s="109"/>
    </row>
    <row r="3662" spans="19:19">
      <c r="S3662" s="109"/>
    </row>
    <row r="3663" spans="19:19">
      <c r="S3663" s="109"/>
    </row>
    <row r="3664" spans="19:19">
      <c r="S3664" s="109"/>
    </row>
    <row r="3665" spans="19:19">
      <c r="S3665" s="109"/>
    </row>
    <row r="3666" spans="19:19">
      <c r="S3666" s="109"/>
    </row>
    <row r="3667" spans="19:19">
      <c r="S3667" s="109"/>
    </row>
    <row r="3668" spans="19:19">
      <c r="S3668" s="109"/>
    </row>
    <row r="3669" spans="19:19">
      <c r="S3669" s="109"/>
    </row>
    <row r="3670" spans="19:19">
      <c r="S3670" s="109"/>
    </row>
    <row r="3671" spans="19:19">
      <c r="S3671" s="109"/>
    </row>
    <row r="3672" spans="19:19">
      <c r="S3672" s="109"/>
    </row>
    <row r="3673" spans="19:19">
      <c r="S3673" s="109"/>
    </row>
    <row r="3674" spans="19:19">
      <c r="S3674" s="109"/>
    </row>
    <row r="3675" spans="19:19">
      <c r="S3675" s="109"/>
    </row>
    <row r="3676" spans="19:19">
      <c r="S3676" s="109"/>
    </row>
    <row r="3677" spans="19:19">
      <c r="S3677" s="109"/>
    </row>
    <row r="3678" spans="19:19">
      <c r="S3678" s="109"/>
    </row>
    <row r="3679" spans="19:19">
      <c r="S3679" s="109"/>
    </row>
    <row r="3680" spans="19:19">
      <c r="S3680" s="109"/>
    </row>
    <row r="3681" spans="19:19">
      <c r="S3681" s="109"/>
    </row>
    <row r="3682" spans="19:19">
      <c r="S3682" s="109"/>
    </row>
    <row r="3683" spans="19:19">
      <c r="S3683" s="109"/>
    </row>
    <row r="3684" spans="19:19">
      <c r="S3684" s="109"/>
    </row>
    <row r="3685" spans="19:19">
      <c r="S3685" s="109"/>
    </row>
    <row r="3686" spans="19:19">
      <c r="S3686" s="109"/>
    </row>
    <row r="3687" spans="19:19">
      <c r="S3687" s="109"/>
    </row>
    <row r="3688" spans="19:19">
      <c r="S3688" s="109"/>
    </row>
    <row r="3689" spans="19:19">
      <c r="S3689" s="109"/>
    </row>
    <row r="3690" spans="19:19">
      <c r="S3690" s="109"/>
    </row>
    <row r="3691" spans="19:19">
      <c r="S3691" s="109"/>
    </row>
    <row r="3692" spans="19:19">
      <c r="S3692" s="109"/>
    </row>
    <row r="3693" spans="19:19">
      <c r="S3693" s="109"/>
    </row>
    <row r="3694" spans="19:19">
      <c r="S3694" s="109"/>
    </row>
    <row r="3695" spans="19:19">
      <c r="S3695" s="109"/>
    </row>
    <row r="3696" spans="19:19">
      <c r="S3696" s="109"/>
    </row>
    <row r="3697" spans="19:19">
      <c r="S3697" s="109"/>
    </row>
    <row r="3698" spans="19:19">
      <c r="S3698" s="109"/>
    </row>
    <row r="3699" spans="19:19">
      <c r="S3699" s="109"/>
    </row>
    <row r="3700" spans="19:19">
      <c r="S3700" s="109"/>
    </row>
    <row r="3701" spans="19:19">
      <c r="S3701" s="109"/>
    </row>
    <row r="3702" spans="19:19">
      <c r="S3702" s="109"/>
    </row>
    <row r="3703" spans="19:19">
      <c r="S3703" s="109"/>
    </row>
    <row r="3704" spans="19:19">
      <c r="S3704" s="109"/>
    </row>
    <row r="3705" spans="19:19">
      <c r="S3705" s="109"/>
    </row>
    <row r="3706" spans="19:19">
      <c r="S3706" s="109"/>
    </row>
    <row r="3707" spans="19:19">
      <c r="S3707" s="109"/>
    </row>
    <row r="3708" spans="19:19">
      <c r="S3708" s="109"/>
    </row>
    <row r="3709" spans="19:19">
      <c r="S3709" s="109"/>
    </row>
    <row r="3710" spans="19:19">
      <c r="S3710" s="109"/>
    </row>
    <row r="3711" spans="19:19">
      <c r="S3711" s="109"/>
    </row>
    <row r="3712" spans="19:19">
      <c r="S3712" s="109"/>
    </row>
    <row r="3713" spans="19:19">
      <c r="S3713" s="109"/>
    </row>
    <row r="3714" spans="19:19">
      <c r="S3714" s="109"/>
    </row>
    <row r="3715" spans="19:19">
      <c r="S3715" s="109"/>
    </row>
    <row r="3716" spans="19:19">
      <c r="S3716" s="109"/>
    </row>
    <row r="3717" spans="19:19">
      <c r="S3717" s="109"/>
    </row>
    <row r="3718" spans="19:19">
      <c r="S3718" s="109"/>
    </row>
    <row r="3719" spans="19:19">
      <c r="S3719" s="109"/>
    </row>
    <row r="3720" spans="19:19">
      <c r="S3720" s="109"/>
    </row>
    <row r="3721" spans="19:19">
      <c r="S3721" s="109"/>
    </row>
    <row r="3722" spans="19:19">
      <c r="S3722" s="109"/>
    </row>
    <row r="3723" spans="19:19">
      <c r="S3723" s="109"/>
    </row>
    <row r="3724" spans="19:19">
      <c r="S3724" s="109"/>
    </row>
    <row r="3725" spans="19:19">
      <c r="S3725" s="109"/>
    </row>
    <row r="3726" spans="19:19">
      <c r="S3726" s="109"/>
    </row>
    <row r="3727" spans="19:19">
      <c r="S3727" s="109"/>
    </row>
    <row r="3728" spans="19:19">
      <c r="S3728" s="109"/>
    </row>
    <row r="3729" spans="19:19">
      <c r="S3729" s="109"/>
    </row>
    <row r="3730" spans="19:19">
      <c r="S3730" s="109"/>
    </row>
    <row r="3731" spans="19:19">
      <c r="S3731" s="109"/>
    </row>
    <row r="3732" spans="19:19">
      <c r="S3732" s="109"/>
    </row>
    <row r="3733" spans="19:19">
      <c r="S3733" s="109"/>
    </row>
    <row r="3734" spans="19:19">
      <c r="S3734" s="109"/>
    </row>
    <row r="3735" spans="19:19">
      <c r="S3735" s="109"/>
    </row>
    <row r="3736" spans="19:19">
      <c r="S3736" s="109"/>
    </row>
    <row r="3737" spans="19:19">
      <c r="S3737" s="109"/>
    </row>
    <row r="3738" spans="19:19">
      <c r="S3738" s="109"/>
    </row>
    <row r="3739" spans="19:19">
      <c r="S3739" s="109"/>
    </row>
    <row r="3740" spans="19:19">
      <c r="S3740" s="109"/>
    </row>
    <row r="3741" spans="19:19">
      <c r="S3741" s="109"/>
    </row>
    <row r="3742" spans="19:19">
      <c r="S3742" s="109"/>
    </row>
    <row r="3743" spans="19:19">
      <c r="S3743" s="109"/>
    </row>
    <row r="3744" spans="19:19">
      <c r="S3744" s="109"/>
    </row>
    <row r="3745" spans="19:19">
      <c r="S3745" s="109"/>
    </row>
    <row r="3746" spans="19:19">
      <c r="S3746" s="109"/>
    </row>
    <row r="3747" spans="19:19">
      <c r="S3747" s="109"/>
    </row>
    <row r="3748" spans="19:19">
      <c r="S3748" s="109"/>
    </row>
    <row r="3749" spans="19:19">
      <c r="S3749" s="109"/>
    </row>
    <row r="3750" spans="19:19">
      <c r="S3750" s="109"/>
    </row>
    <row r="3751" spans="19:19">
      <c r="S3751" s="109"/>
    </row>
    <row r="3752" spans="19:19">
      <c r="S3752" s="109"/>
    </row>
    <row r="3753" spans="19:19">
      <c r="S3753" s="109"/>
    </row>
    <row r="3754" spans="19:19">
      <c r="S3754" s="109"/>
    </row>
    <row r="3755" spans="19:19">
      <c r="S3755" s="109"/>
    </row>
    <row r="3756" spans="19:19">
      <c r="S3756" s="109"/>
    </row>
    <row r="3757" spans="19:19">
      <c r="S3757" s="109"/>
    </row>
    <row r="3758" spans="19:19">
      <c r="S3758" s="109"/>
    </row>
    <row r="3759" spans="19:19">
      <c r="S3759" s="109"/>
    </row>
    <row r="3760" spans="19:19">
      <c r="S3760" s="109"/>
    </row>
    <row r="3761" spans="19:19">
      <c r="S3761" s="109"/>
    </row>
    <row r="3762" spans="19:19">
      <c r="S3762" s="109"/>
    </row>
    <row r="3763" spans="19:19">
      <c r="S3763" s="109"/>
    </row>
    <row r="3764" spans="19:19">
      <c r="S3764" s="109"/>
    </row>
    <row r="3765" spans="19:19">
      <c r="S3765" s="109"/>
    </row>
    <row r="3766" spans="19:19">
      <c r="S3766" s="109"/>
    </row>
    <row r="3767" spans="19:19">
      <c r="S3767" s="109"/>
    </row>
    <row r="3768" spans="19:19">
      <c r="S3768" s="109"/>
    </row>
    <row r="3769" spans="19:19">
      <c r="S3769" s="109"/>
    </row>
    <row r="3770" spans="19:19">
      <c r="S3770" s="109"/>
    </row>
    <row r="3771" spans="19:19">
      <c r="S3771" s="109"/>
    </row>
    <row r="3772" spans="19:19">
      <c r="S3772" s="109"/>
    </row>
    <row r="3773" spans="19:19">
      <c r="S3773" s="109"/>
    </row>
    <row r="3774" spans="19:19">
      <c r="S3774" s="109"/>
    </row>
    <row r="3775" spans="19:19">
      <c r="S3775" s="109"/>
    </row>
    <row r="3776" spans="19:19">
      <c r="S3776" s="109"/>
    </row>
    <row r="3777" spans="19:19">
      <c r="S3777" s="109"/>
    </row>
    <row r="3778" spans="19:19">
      <c r="S3778" s="109"/>
    </row>
    <row r="3779" spans="19:19">
      <c r="S3779" s="109"/>
    </row>
    <row r="3780" spans="19:19">
      <c r="S3780" s="109"/>
    </row>
    <row r="3781" spans="19:19">
      <c r="S3781" s="109"/>
    </row>
    <row r="3782" spans="19:19">
      <c r="S3782" s="109"/>
    </row>
    <row r="3783" spans="19:19">
      <c r="S3783" s="109"/>
    </row>
    <row r="3784" spans="19:19">
      <c r="S3784" s="109"/>
    </row>
    <row r="3785" spans="19:19">
      <c r="S3785" s="109"/>
    </row>
    <row r="3786" spans="19:19">
      <c r="S3786" s="109"/>
    </row>
    <row r="3787" spans="19:19">
      <c r="S3787" s="109"/>
    </row>
    <row r="3788" spans="19:19">
      <c r="S3788" s="109"/>
    </row>
    <row r="3789" spans="19:19">
      <c r="S3789" s="109"/>
    </row>
    <row r="3790" spans="19:19">
      <c r="S3790" s="109"/>
    </row>
    <row r="3791" spans="19:19">
      <c r="S3791" s="109"/>
    </row>
    <row r="3792" spans="19:19">
      <c r="S3792" s="109"/>
    </row>
    <row r="3793" spans="19:19">
      <c r="S3793" s="109"/>
    </row>
    <row r="3794" spans="19:19">
      <c r="S3794" s="109"/>
    </row>
    <row r="3795" spans="19:19">
      <c r="S3795" s="109"/>
    </row>
    <row r="3796" spans="19:19">
      <c r="S3796" s="109"/>
    </row>
    <row r="3797" spans="19:19">
      <c r="S3797" s="109"/>
    </row>
    <row r="3798" spans="19:19">
      <c r="S3798" s="109"/>
    </row>
    <row r="3799" spans="19:19">
      <c r="S3799" s="109"/>
    </row>
    <row r="3800" spans="19:19">
      <c r="S3800" s="109"/>
    </row>
    <row r="3801" spans="19:19">
      <c r="S3801" s="109"/>
    </row>
    <row r="3802" spans="19:19">
      <c r="S3802" s="109"/>
    </row>
    <row r="3803" spans="19:19">
      <c r="S3803" s="109"/>
    </row>
    <row r="3804" spans="19:19">
      <c r="S3804" s="109"/>
    </row>
    <row r="3805" spans="19:19">
      <c r="S3805" s="109"/>
    </row>
    <row r="3806" spans="19:19">
      <c r="S3806" s="109"/>
    </row>
    <row r="3807" spans="19:19">
      <c r="S3807" s="109"/>
    </row>
    <row r="3808" spans="19:19">
      <c r="S3808" s="109"/>
    </row>
    <row r="3809" spans="19:19">
      <c r="S3809" s="109"/>
    </row>
    <row r="3810" spans="19:19">
      <c r="S3810" s="109"/>
    </row>
    <row r="3811" spans="19:19">
      <c r="S3811" s="109"/>
    </row>
    <row r="3812" spans="19:19">
      <c r="S3812" s="109"/>
    </row>
    <row r="3813" spans="19:19">
      <c r="S3813" s="109"/>
    </row>
    <row r="3814" spans="19:19">
      <c r="S3814" s="109"/>
    </row>
    <row r="3815" spans="19:19">
      <c r="S3815" s="109"/>
    </row>
    <row r="3816" spans="19:19">
      <c r="S3816" s="109"/>
    </row>
    <row r="3817" spans="19:19">
      <c r="S3817" s="109"/>
    </row>
    <row r="3818" spans="19:19">
      <c r="S3818" s="109"/>
    </row>
    <row r="3819" spans="19:19">
      <c r="S3819" s="109"/>
    </row>
    <row r="3820" spans="19:19">
      <c r="S3820" s="109"/>
    </row>
    <row r="3821" spans="19:19">
      <c r="S3821" s="109"/>
    </row>
    <row r="3822" spans="19:19">
      <c r="S3822" s="109"/>
    </row>
    <row r="3823" spans="19:19">
      <c r="S3823" s="109"/>
    </row>
    <row r="3824" spans="19:19">
      <c r="S3824" s="109"/>
    </row>
    <row r="3825" spans="19:19">
      <c r="S3825" s="109"/>
    </row>
    <row r="3826" spans="19:19">
      <c r="S3826" s="109"/>
    </row>
    <row r="3827" spans="19:19">
      <c r="S3827" s="109"/>
    </row>
    <row r="3828" spans="19:19">
      <c r="S3828" s="109"/>
    </row>
    <row r="3829" spans="19:19">
      <c r="S3829" s="109"/>
    </row>
    <row r="3830" spans="19:19">
      <c r="S3830" s="109"/>
    </row>
    <row r="3831" spans="19:19">
      <c r="S3831" s="109"/>
    </row>
    <row r="3832" spans="19:19">
      <c r="S3832" s="109"/>
    </row>
    <row r="3833" spans="19:19">
      <c r="S3833" s="109"/>
    </row>
    <row r="3834" spans="19:19">
      <c r="S3834" s="109"/>
    </row>
    <row r="3835" spans="19:19">
      <c r="S3835" s="109"/>
    </row>
    <row r="3836" spans="19:19">
      <c r="S3836" s="109"/>
    </row>
    <row r="3837" spans="19:19">
      <c r="S3837" s="109"/>
    </row>
    <row r="3838" spans="19:19">
      <c r="S3838" s="109"/>
    </row>
    <row r="3839" spans="19:19">
      <c r="S3839" s="109"/>
    </row>
    <row r="3840" spans="19:19">
      <c r="S3840" s="109"/>
    </row>
    <row r="3841" spans="19:19">
      <c r="S3841" s="109"/>
    </row>
    <row r="3842" spans="19:19">
      <c r="S3842" s="109"/>
    </row>
    <row r="3843" spans="19:19">
      <c r="S3843" s="109"/>
    </row>
    <row r="3844" spans="19:19">
      <c r="S3844" s="109"/>
    </row>
    <row r="3845" spans="19:19">
      <c r="S3845" s="109"/>
    </row>
    <row r="3846" spans="19:19">
      <c r="S3846" s="109"/>
    </row>
    <row r="3847" spans="19:19">
      <c r="S3847" s="109"/>
    </row>
    <row r="3848" spans="19:19">
      <c r="S3848" s="109"/>
    </row>
    <row r="3849" spans="19:19">
      <c r="S3849" s="109"/>
    </row>
    <row r="3850" spans="19:19">
      <c r="S3850" s="109"/>
    </row>
    <row r="3851" spans="19:19">
      <c r="S3851" s="109"/>
    </row>
    <row r="3852" spans="19:19">
      <c r="S3852" s="109"/>
    </row>
    <row r="3853" spans="19:19">
      <c r="S3853" s="109"/>
    </row>
    <row r="3854" spans="19:19">
      <c r="S3854" s="109"/>
    </row>
    <row r="3855" spans="19:19">
      <c r="S3855" s="109"/>
    </row>
    <row r="3856" spans="19:19">
      <c r="S3856" s="109"/>
    </row>
    <row r="3857" spans="19:19">
      <c r="S3857" s="109"/>
    </row>
    <row r="3858" spans="19:19">
      <c r="S3858" s="109"/>
    </row>
    <row r="3859" spans="19:19">
      <c r="S3859" s="109"/>
    </row>
    <row r="3860" spans="19:19">
      <c r="S3860" s="109"/>
    </row>
    <row r="3861" spans="19:19">
      <c r="S3861" s="109"/>
    </row>
    <row r="3862" spans="19:19">
      <c r="S3862" s="109"/>
    </row>
    <row r="3863" spans="19:19">
      <c r="S3863" s="109"/>
    </row>
    <row r="3864" spans="19:19">
      <c r="S3864" s="109"/>
    </row>
    <row r="3865" spans="19:19">
      <c r="S3865" s="109"/>
    </row>
    <row r="3866" spans="19:19">
      <c r="S3866" s="109"/>
    </row>
    <row r="3867" spans="19:19">
      <c r="S3867" s="109"/>
    </row>
    <row r="3868" spans="19:19">
      <c r="S3868" s="109"/>
    </row>
    <row r="3869" spans="19:19">
      <c r="S3869" s="109"/>
    </row>
    <row r="3870" spans="19:19">
      <c r="S3870" s="109"/>
    </row>
    <row r="3871" spans="19:19">
      <c r="S3871" s="109"/>
    </row>
    <row r="3872" spans="19:19">
      <c r="S3872" s="109"/>
    </row>
    <row r="3873" spans="19:19">
      <c r="S3873" s="109"/>
    </row>
    <row r="3874" spans="19:19">
      <c r="S3874" s="109"/>
    </row>
    <row r="3875" spans="19:19">
      <c r="S3875" s="109"/>
    </row>
    <row r="3876" spans="19:19">
      <c r="S3876" s="109"/>
    </row>
    <row r="3877" spans="19:19">
      <c r="S3877" s="109"/>
    </row>
    <row r="3878" spans="19:19">
      <c r="S3878" s="109"/>
    </row>
    <row r="3879" spans="19:19">
      <c r="S3879" s="109"/>
    </row>
    <row r="3880" spans="19:19">
      <c r="S3880" s="109"/>
    </row>
    <row r="3881" spans="19:19">
      <c r="S3881" s="109"/>
    </row>
    <row r="3882" spans="19:19">
      <c r="S3882" s="109"/>
    </row>
    <row r="3883" spans="19:19">
      <c r="S3883" s="109"/>
    </row>
    <row r="3884" spans="19:19">
      <c r="S3884" s="109"/>
    </row>
    <row r="3885" spans="19:19">
      <c r="S3885" s="109"/>
    </row>
    <row r="3886" spans="19:19">
      <c r="S3886" s="109"/>
    </row>
    <row r="3887" spans="19:19">
      <c r="S3887" s="109"/>
    </row>
    <row r="3888" spans="19:19">
      <c r="S3888" s="109"/>
    </row>
    <row r="3889" spans="19:19">
      <c r="S3889" s="109"/>
    </row>
    <row r="3890" spans="19:19">
      <c r="S3890" s="109"/>
    </row>
    <row r="3891" spans="19:19">
      <c r="S3891" s="109"/>
    </row>
    <row r="3892" spans="19:19">
      <c r="S3892" s="109"/>
    </row>
    <row r="3893" spans="19:19">
      <c r="S3893" s="109"/>
    </row>
    <row r="3894" spans="19:19">
      <c r="S3894" s="109"/>
    </row>
    <row r="3895" spans="19:19">
      <c r="S3895" s="109"/>
    </row>
    <row r="3896" spans="19:19">
      <c r="S3896" s="109"/>
    </row>
    <row r="3897" spans="19:19">
      <c r="S3897" s="109"/>
    </row>
    <row r="3898" spans="19:19">
      <c r="S3898" s="109"/>
    </row>
    <row r="3899" spans="19:19">
      <c r="S3899" s="109"/>
    </row>
    <row r="3900" spans="19:19">
      <c r="S3900" s="109"/>
    </row>
    <row r="3901" spans="19:19">
      <c r="S3901" s="109"/>
    </row>
    <row r="3902" spans="19:19">
      <c r="S3902" s="109"/>
    </row>
    <row r="3903" spans="19:19">
      <c r="S3903" s="109"/>
    </row>
    <row r="3904" spans="19:19">
      <c r="S3904" s="109"/>
    </row>
    <row r="3905" spans="19:19">
      <c r="S3905" s="109"/>
    </row>
    <row r="3906" spans="19:19">
      <c r="S3906" s="109"/>
    </row>
    <row r="3907" spans="19:19">
      <c r="S3907" s="109"/>
    </row>
    <row r="3908" spans="19:19">
      <c r="S3908" s="109"/>
    </row>
    <row r="3909" spans="19:19">
      <c r="S3909" s="109"/>
    </row>
    <row r="3910" spans="19:19">
      <c r="S3910" s="109"/>
    </row>
    <row r="3911" spans="19:19">
      <c r="S3911" s="109"/>
    </row>
    <row r="3912" spans="19:19">
      <c r="S3912" s="109"/>
    </row>
    <row r="3913" spans="19:19">
      <c r="S3913" s="109"/>
    </row>
    <row r="3914" spans="19:19">
      <c r="S3914" s="109"/>
    </row>
    <row r="3915" spans="19:19">
      <c r="S3915" s="109"/>
    </row>
    <row r="3916" spans="19:19">
      <c r="S3916" s="109"/>
    </row>
    <row r="3917" spans="19:19">
      <c r="S3917" s="109"/>
    </row>
    <row r="3918" spans="19:19">
      <c r="S3918" s="109"/>
    </row>
    <row r="3919" spans="19:19">
      <c r="S3919" s="109"/>
    </row>
    <row r="3920" spans="19:19">
      <c r="S3920" s="109"/>
    </row>
    <row r="3921" spans="19:19">
      <c r="S3921" s="109"/>
    </row>
    <row r="3922" spans="19:19">
      <c r="S3922" s="109"/>
    </row>
    <row r="3923" spans="19:19">
      <c r="S3923" s="109"/>
    </row>
    <row r="3924" spans="19:19">
      <c r="S3924" s="109"/>
    </row>
    <row r="3925" spans="19:19">
      <c r="S3925" s="109"/>
    </row>
    <row r="3926" spans="19:19">
      <c r="S3926" s="109"/>
    </row>
    <row r="3927" spans="19:19">
      <c r="S3927" s="109"/>
    </row>
    <row r="3928" spans="19:19">
      <c r="S3928" s="109"/>
    </row>
    <row r="3929" spans="19:19">
      <c r="S3929" s="109"/>
    </row>
    <row r="3930" spans="19:19">
      <c r="S3930" s="109"/>
    </row>
    <row r="3931" spans="19:19">
      <c r="S3931" s="109"/>
    </row>
    <row r="3932" spans="19:19">
      <c r="S3932" s="109"/>
    </row>
    <row r="3933" spans="19:19">
      <c r="S3933" s="109"/>
    </row>
    <row r="3934" spans="19:19">
      <c r="S3934" s="109"/>
    </row>
    <row r="3935" spans="19:19">
      <c r="S3935" s="109"/>
    </row>
    <row r="3936" spans="19:19">
      <c r="S3936" s="109"/>
    </row>
    <row r="3937" spans="19:19">
      <c r="S3937" s="109"/>
    </row>
    <row r="3938" spans="19:19">
      <c r="S3938" s="109"/>
    </row>
    <row r="3939" spans="19:19">
      <c r="S3939" s="109"/>
    </row>
    <row r="3940" spans="19:19">
      <c r="S3940" s="109"/>
    </row>
    <row r="3941" spans="19:19">
      <c r="S3941" s="109"/>
    </row>
    <row r="3942" spans="19:19">
      <c r="S3942" s="109"/>
    </row>
    <row r="3943" spans="19:19">
      <c r="S3943" s="109"/>
    </row>
    <row r="3944" spans="19:19">
      <c r="S3944" s="109"/>
    </row>
    <row r="3945" spans="19:19">
      <c r="S3945" s="109"/>
    </row>
    <row r="3946" spans="19:19">
      <c r="S3946" s="109"/>
    </row>
    <row r="3947" spans="19:19">
      <c r="S3947" s="109"/>
    </row>
    <row r="3948" spans="19:19">
      <c r="S3948" s="109"/>
    </row>
    <row r="3949" spans="19:19">
      <c r="S3949" s="109"/>
    </row>
    <row r="3950" spans="19:19">
      <c r="S3950" s="109"/>
    </row>
    <row r="3951" spans="19:19">
      <c r="S3951" s="109"/>
    </row>
    <row r="3952" spans="19:19">
      <c r="S3952" s="109"/>
    </row>
    <row r="3953" spans="19:19">
      <c r="S3953" s="109"/>
    </row>
    <row r="3954" spans="19:19">
      <c r="S3954" s="109"/>
    </row>
    <row r="3955" spans="19:19">
      <c r="S3955" s="109"/>
    </row>
    <row r="3956" spans="19:19">
      <c r="S3956" s="109"/>
    </row>
    <row r="3957" spans="19:19">
      <c r="S3957" s="109"/>
    </row>
    <row r="3958" spans="19:19">
      <c r="S3958" s="109"/>
    </row>
    <row r="3959" spans="19:19">
      <c r="S3959" s="109"/>
    </row>
    <row r="3960" spans="19:19">
      <c r="S3960" s="109"/>
    </row>
    <row r="3961" spans="19:19">
      <c r="S3961" s="109"/>
    </row>
    <row r="3962" spans="19:19">
      <c r="S3962" s="109"/>
    </row>
    <row r="3963" spans="19:19">
      <c r="S3963" s="109"/>
    </row>
    <row r="3964" spans="19:19">
      <c r="S3964" s="109"/>
    </row>
    <row r="3965" spans="19:19">
      <c r="S3965" s="109"/>
    </row>
    <row r="3966" spans="19:19">
      <c r="S3966" s="109"/>
    </row>
    <row r="3967" spans="19:19">
      <c r="S3967" s="109"/>
    </row>
    <row r="3968" spans="19:19">
      <c r="S3968" s="109"/>
    </row>
    <row r="3969" spans="19:19">
      <c r="S3969" s="109"/>
    </row>
    <row r="3970" spans="19:19">
      <c r="S3970" s="109"/>
    </row>
    <row r="3971" spans="19:19">
      <c r="S3971" s="109"/>
    </row>
    <row r="3972" spans="19:19">
      <c r="S3972" s="109"/>
    </row>
    <row r="3973" spans="19:19">
      <c r="S3973" s="109"/>
    </row>
    <row r="3974" spans="19:19">
      <c r="S3974" s="109"/>
    </row>
    <row r="3975" spans="19:19">
      <c r="S3975" s="109"/>
    </row>
    <row r="3976" spans="19:19">
      <c r="S3976" s="109"/>
    </row>
    <row r="3977" spans="19:19">
      <c r="S3977" s="109"/>
    </row>
    <row r="3978" spans="19:19">
      <c r="S3978" s="109"/>
    </row>
    <row r="3979" spans="19:19">
      <c r="S3979" s="109"/>
    </row>
    <row r="3980" spans="19:19">
      <c r="S3980" s="109"/>
    </row>
    <row r="3981" spans="19:19">
      <c r="S3981" s="109"/>
    </row>
    <row r="3982" spans="19:19">
      <c r="S3982" s="109"/>
    </row>
    <row r="3983" spans="19:19">
      <c r="S3983" s="109"/>
    </row>
    <row r="3984" spans="19:19">
      <c r="S3984" s="109"/>
    </row>
    <row r="3985" spans="19:19">
      <c r="S3985" s="109"/>
    </row>
    <row r="3986" spans="19:19">
      <c r="S3986" s="109"/>
    </row>
    <row r="3987" spans="19:19">
      <c r="S3987" s="109"/>
    </row>
    <row r="3988" spans="19:19">
      <c r="S3988" s="109"/>
    </row>
    <row r="3989" spans="19:19">
      <c r="S3989" s="109"/>
    </row>
    <row r="3990" spans="19:19">
      <c r="S3990" s="109"/>
    </row>
    <row r="3991" spans="19:19">
      <c r="S3991" s="109"/>
    </row>
    <row r="3992" spans="19:19">
      <c r="S3992" s="109"/>
    </row>
    <row r="3993" spans="19:19">
      <c r="S3993" s="109"/>
    </row>
    <row r="3994" spans="19:19">
      <c r="S3994" s="109"/>
    </row>
    <row r="3995" spans="19:19">
      <c r="S3995" s="109"/>
    </row>
    <row r="3996" spans="19:19">
      <c r="S3996" s="109"/>
    </row>
    <row r="3997" spans="19:19">
      <c r="S3997" s="109"/>
    </row>
    <row r="3998" spans="19:19">
      <c r="S3998" s="109"/>
    </row>
    <row r="3999" spans="19:19">
      <c r="S3999" s="109"/>
    </row>
    <row r="4000" spans="19:19">
      <c r="S4000" s="109"/>
    </row>
    <row r="4001" spans="19:19">
      <c r="S4001" s="109"/>
    </row>
    <row r="4002" spans="19:19">
      <c r="S4002" s="109"/>
    </row>
    <row r="4003" spans="19:19">
      <c r="S4003" s="109"/>
    </row>
    <row r="4004" spans="19:19">
      <c r="S4004" s="109"/>
    </row>
    <row r="4005" spans="19:19">
      <c r="S4005" s="109"/>
    </row>
    <row r="4006" spans="19:19">
      <c r="S4006" s="109"/>
    </row>
    <row r="4007" spans="19:19">
      <c r="S4007" s="109"/>
    </row>
    <row r="4008" spans="19:19">
      <c r="S4008" s="109"/>
    </row>
    <row r="4009" spans="19:19">
      <c r="S4009" s="109"/>
    </row>
    <row r="4010" spans="19:19">
      <c r="S4010" s="109"/>
    </row>
    <row r="4011" spans="19:19">
      <c r="S4011" s="109"/>
    </row>
    <row r="4012" spans="19:19">
      <c r="S4012" s="109"/>
    </row>
    <row r="4013" spans="19:19">
      <c r="S4013" s="109"/>
    </row>
    <row r="4014" spans="19:19">
      <c r="S4014" s="109"/>
    </row>
    <row r="4015" spans="19:19">
      <c r="S4015" s="109"/>
    </row>
    <row r="4016" spans="19:19">
      <c r="S4016" s="109"/>
    </row>
    <row r="4017" spans="19:19">
      <c r="S4017" s="109"/>
    </row>
    <row r="4018" spans="19:19">
      <c r="S4018" s="109"/>
    </row>
    <row r="4019" spans="19:19">
      <c r="S4019" s="109"/>
    </row>
    <row r="4020" spans="19:19">
      <c r="S4020" s="109"/>
    </row>
    <row r="4021" spans="19:19">
      <c r="S4021" s="109"/>
    </row>
    <row r="4022" spans="19:19">
      <c r="S4022" s="109"/>
    </row>
    <row r="4023" spans="19:19">
      <c r="S4023" s="109"/>
    </row>
    <row r="4024" spans="19:19">
      <c r="S4024" s="109"/>
    </row>
    <row r="4025" spans="19:19">
      <c r="S4025" s="109"/>
    </row>
    <row r="4026" spans="19:19">
      <c r="S4026" s="109"/>
    </row>
    <row r="4027" spans="19:19">
      <c r="S4027" s="109"/>
    </row>
    <row r="4028" spans="19:19">
      <c r="S4028" s="109"/>
    </row>
    <row r="4029" spans="19:19">
      <c r="S4029" s="109"/>
    </row>
    <row r="4030" spans="19:19">
      <c r="S4030" s="109"/>
    </row>
    <row r="4031" spans="19:19">
      <c r="S4031" s="109"/>
    </row>
    <row r="4032" spans="19:19">
      <c r="S4032" s="109"/>
    </row>
    <row r="4033" spans="19:19">
      <c r="S4033" s="109"/>
    </row>
    <row r="4034" spans="19:19">
      <c r="S4034" s="109"/>
    </row>
    <row r="4035" spans="19:19">
      <c r="S4035" s="109"/>
    </row>
    <row r="4036" spans="19:19">
      <c r="S4036" s="109"/>
    </row>
    <row r="4037" spans="19:19">
      <c r="S4037" s="109"/>
    </row>
    <row r="4038" spans="19:19">
      <c r="S4038" s="109"/>
    </row>
    <row r="4039" spans="19:19">
      <c r="S4039" s="109"/>
    </row>
    <row r="4040" spans="19:19">
      <c r="S4040" s="109"/>
    </row>
    <row r="4041" spans="19:19">
      <c r="S4041" s="109"/>
    </row>
    <row r="4042" spans="19:19">
      <c r="S4042" s="109"/>
    </row>
    <row r="4043" spans="19:19">
      <c r="S4043" s="109"/>
    </row>
    <row r="4044" spans="19:19">
      <c r="S4044" s="109"/>
    </row>
    <row r="4045" spans="19:19">
      <c r="S4045" s="109"/>
    </row>
    <row r="4046" spans="19:19">
      <c r="S4046" s="109"/>
    </row>
    <row r="4047" spans="19:19">
      <c r="S4047" s="109"/>
    </row>
    <row r="4048" spans="19:19">
      <c r="S4048" s="109"/>
    </row>
    <row r="4049" spans="19:19">
      <c r="S4049" s="109"/>
    </row>
    <row r="4050" spans="19:19">
      <c r="S4050" s="109"/>
    </row>
    <row r="4051" spans="19:19">
      <c r="S4051" s="109"/>
    </row>
    <row r="4052" spans="19:19">
      <c r="S4052" s="109"/>
    </row>
    <row r="4053" spans="19:19">
      <c r="S4053" s="109"/>
    </row>
    <row r="4054" spans="19:19">
      <c r="S4054" s="109"/>
    </row>
    <row r="4055" spans="19:19">
      <c r="S4055" s="109"/>
    </row>
    <row r="4056" spans="19:19">
      <c r="S4056" s="109"/>
    </row>
    <row r="4057" spans="19:19">
      <c r="S4057" s="109"/>
    </row>
    <row r="4058" spans="19:19">
      <c r="S4058" s="109"/>
    </row>
    <row r="4059" spans="19:19">
      <c r="S4059" s="109"/>
    </row>
    <row r="4060" spans="19:19">
      <c r="S4060" s="109"/>
    </row>
    <row r="4061" spans="19:19">
      <c r="S4061" s="109"/>
    </row>
    <row r="4062" spans="19:19">
      <c r="S4062" s="109"/>
    </row>
    <row r="4063" spans="19:19">
      <c r="S4063" s="109"/>
    </row>
    <row r="4064" spans="19:19">
      <c r="S4064" s="109"/>
    </row>
    <row r="4065" spans="19:19">
      <c r="S4065" s="109"/>
    </row>
    <row r="4066" spans="19:19">
      <c r="S4066" s="109"/>
    </row>
    <row r="4067" spans="19:19">
      <c r="S4067" s="109"/>
    </row>
    <row r="4068" spans="19:19">
      <c r="S4068" s="109"/>
    </row>
    <row r="4069" spans="19:19">
      <c r="S4069" s="109"/>
    </row>
    <row r="4070" spans="19:19">
      <c r="S4070" s="109"/>
    </row>
    <row r="4071" spans="19:19">
      <c r="S4071" s="109"/>
    </row>
    <row r="4072" spans="19:19">
      <c r="S4072" s="109"/>
    </row>
    <row r="4073" spans="19:19">
      <c r="S4073" s="109"/>
    </row>
    <row r="4074" spans="19:19">
      <c r="S4074" s="109"/>
    </row>
    <row r="4075" spans="19:19">
      <c r="S4075" s="109"/>
    </row>
    <row r="4076" spans="19:19">
      <c r="S4076" s="109"/>
    </row>
    <row r="4077" spans="19:19">
      <c r="S4077" s="109"/>
    </row>
    <row r="4078" spans="19:19">
      <c r="S4078" s="109"/>
    </row>
    <row r="4079" spans="19:19">
      <c r="S4079" s="109"/>
    </row>
    <row r="4080" spans="19:19">
      <c r="S4080" s="109"/>
    </row>
    <row r="4081" spans="19:19">
      <c r="S4081" s="109"/>
    </row>
    <row r="4082" spans="19:19">
      <c r="S4082" s="109"/>
    </row>
    <row r="4083" spans="19:19">
      <c r="S4083" s="109"/>
    </row>
    <row r="4084" spans="19:19">
      <c r="S4084" s="109"/>
    </row>
    <row r="4085" spans="19:19">
      <c r="S4085" s="109"/>
    </row>
    <row r="4086" spans="19:19">
      <c r="S4086" s="109"/>
    </row>
    <row r="4087" spans="19:19">
      <c r="S4087" s="109"/>
    </row>
    <row r="4088" spans="19:19">
      <c r="S4088" s="109"/>
    </row>
    <row r="4089" spans="19:19">
      <c r="S4089" s="109"/>
    </row>
    <row r="4090" spans="19:19">
      <c r="S4090" s="109"/>
    </row>
    <row r="4091" spans="19:19">
      <c r="S4091" s="109"/>
    </row>
    <row r="4092" spans="19:19">
      <c r="S4092" s="109"/>
    </row>
    <row r="4093" spans="19:19">
      <c r="S4093" s="109"/>
    </row>
    <row r="4094" spans="19:19">
      <c r="S4094" s="109"/>
    </row>
    <row r="4095" spans="19:19">
      <c r="S4095" s="109"/>
    </row>
    <row r="4096" spans="19:19">
      <c r="S4096" s="109"/>
    </row>
    <row r="4097" spans="19:19">
      <c r="S4097" s="109"/>
    </row>
    <row r="4098" spans="19:19">
      <c r="S4098" s="109"/>
    </row>
    <row r="4099" spans="19:19">
      <c r="S4099" s="109"/>
    </row>
    <row r="4100" spans="19:19">
      <c r="S4100" s="109"/>
    </row>
    <row r="4101" spans="19:19">
      <c r="S4101" s="109"/>
    </row>
    <row r="4102" spans="19:19">
      <c r="S4102" s="109"/>
    </row>
    <row r="4103" spans="19:19">
      <c r="S4103" s="109"/>
    </row>
    <row r="4104" spans="19:19">
      <c r="S4104" s="109"/>
    </row>
    <row r="4105" spans="19:19">
      <c r="S4105" s="109"/>
    </row>
    <row r="4106" spans="19:19">
      <c r="S4106" s="109"/>
    </row>
    <row r="4107" spans="19:19">
      <c r="S4107" s="109"/>
    </row>
    <row r="4108" spans="19:19">
      <c r="S4108" s="109"/>
    </row>
    <row r="4109" spans="19:19">
      <c r="S4109" s="109"/>
    </row>
    <row r="4110" spans="19:19">
      <c r="S4110" s="109"/>
    </row>
    <row r="4111" spans="19:19">
      <c r="S4111" s="109"/>
    </row>
    <row r="4112" spans="19:19">
      <c r="S4112" s="109"/>
    </row>
    <row r="4113" spans="19:19">
      <c r="S4113" s="109"/>
    </row>
    <row r="4114" spans="19:19">
      <c r="S4114" s="109"/>
    </row>
    <row r="4115" spans="19:19">
      <c r="S4115" s="109"/>
    </row>
    <row r="4116" spans="19:19">
      <c r="S4116" s="109"/>
    </row>
    <row r="4117" spans="19:19">
      <c r="S4117" s="109"/>
    </row>
    <row r="4118" spans="19:19">
      <c r="S4118" s="109"/>
    </row>
    <row r="4119" spans="19:19">
      <c r="S4119" s="109"/>
    </row>
    <row r="4120" spans="19:19">
      <c r="S4120" s="109"/>
    </row>
    <row r="4121" spans="19:19">
      <c r="S4121" s="109"/>
    </row>
    <row r="4122" spans="19:19">
      <c r="S4122" s="109"/>
    </row>
    <row r="4123" spans="19:19">
      <c r="S4123" s="109"/>
    </row>
    <row r="4124" spans="19:19">
      <c r="S4124" s="109"/>
    </row>
    <row r="4125" spans="19:19">
      <c r="S4125" s="109"/>
    </row>
    <row r="4126" spans="19:19">
      <c r="S4126" s="109"/>
    </row>
    <row r="4127" spans="19:19">
      <c r="S4127" s="109"/>
    </row>
    <row r="4128" spans="19:19">
      <c r="S4128" s="109"/>
    </row>
    <row r="4129" spans="19:19">
      <c r="S4129" s="109"/>
    </row>
    <row r="4130" spans="19:19">
      <c r="S4130" s="109"/>
    </row>
    <row r="4131" spans="19:19">
      <c r="S4131" s="109"/>
    </row>
    <row r="4132" spans="19:19">
      <c r="S4132" s="109"/>
    </row>
    <row r="4133" spans="19:19">
      <c r="S4133" s="109"/>
    </row>
    <row r="4134" spans="19:19">
      <c r="S4134" s="109"/>
    </row>
    <row r="4135" spans="19:19">
      <c r="S4135" s="109"/>
    </row>
    <row r="4136" spans="19:19">
      <c r="S4136" s="109"/>
    </row>
    <row r="4137" spans="19:19">
      <c r="S4137" s="109"/>
    </row>
    <row r="4138" spans="19:19">
      <c r="S4138" s="109"/>
    </row>
    <row r="4139" spans="19:19">
      <c r="S4139" s="109"/>
    </row>
    <row r="4140" spans="19:19">
      <c r="S4140" s="109"/>
    </row>
    <row r="4141" spans="19:19">
      <c r="S4141" s="109"/>
    </row>
    <row r="4142" spans="19:19">
      <c r="S4142" s="109"/>
    </row>
    <row r="4143" spans="19:19">
      <c r="S4143" s="109"/>
    </row>
    <row r="4144" spans="19:19">
      <c r="S4144" s="109"/>
    </row>
    <row r="4145" spans="19:19">
      <c r="S4145" s="109"/>
    </row>
    <row r="4146" spans="19:19">
      <c r="S4146" s="109"/>
    </row>
    <row r="4147" spans="19:19">
      <c r="S4147" s="109"/>
    </row>
    <row r="4148" spans="19:19">
      <c r="S4148" s="109"/>
    </row>
    <row r="4149" spans="19:19">
      <c r="S4149" s="109"/>
    </row>
    <row r="4150" spans="19:19">
      <c r="S4150" s="109"/>
    </row>
    <row r="4151" spans="19:19">
      <c r="S4151" s="109"/>
    </row>
    <row r="4152" spans="19:19">
      <c r="S4152" s="109"/>
    </row>
    <row r="4153" spans="19:19">
      <c r="S4153" s="109"/>
    </row>
    <row r="4154" spans="19:19">
      <c r="S4154" s="109"/>
    </row>
    <row r="4155" spans="19:19">
      <c r="S4155" s="109"/>
    </row>
    <row r="4156" spans="19:19">
      <c r="S4156" s="109"/>
    </row>
    <row r="4157" spans="19:19">
      <c r="S4157" s="109"/>
    </row>
    <row r="4158" spans="19:19">
      <c r="S4158" s="109"/>
    </row>
    <row r="4159" spans="19:19">
      <c r="S4159" s="109"/>
    </row>
    <row r="4160" spans="19:19">
      <c r="S4160" s="109"/>
    </row>
    <row r="4161" spans="19:19">
      <c r="S4161" s="109"/>
    </row>
    <row r="4162" spans="19:19">
      <c r="S4162" s="109"/>
    </row>
    <row r="4163" spans="19:19">
      <c r="S4163" s="109"/>
    </row>
    <row r="4164" spans="19:19">
      <c r="S4164" s="109"/>
    </row>
    <row r="4165" spans="19:19">
      <c r="S4165" s="109"/>
    </row>
    <row r="4166" spans="19:19">
      <c r="S4166" s="109"/>
    </row>
    <row r="4167" spans="19:19">
      <c r="S4167" s="109"/>
    </row>
    <row r="4168" spans="19:19">
      <c r="S4168" s="109"/>
    </row>
    <row r="4169" spans="19:19">
      <c r="S4169" s="109"/>
    </row>
    <row r="4170" spans="19:19">
      <c r="S4170" s="109"/>
    </row>
    <row r="4171" spans="19:19">
      <c r="S4171" s="109"/>
    </row>
    <row r="4172" spans="19:19">
      <c r="S4172" s="109"/>
    </row>
    <row r="4173" spans="19:19">
      <c r="S4173" s="109"/>
    </row>
    <row r="4174" spans="19:19">
      <c r="S4174" s="109"/>
    </row>
    <row r="4175" spans="19:19">
      <c r="S4175" s="109"/>
    </row>
    <row r="4176" spans="19:19">
      <c r="S4176" s="109"/>
    </row>
    <row r="4177" spans="19:19">
      <c r="S4177" s="109"/>
    </row>
    <row r="4178" spans="19:19">
      <c r="S4178" s="109"/>
    </row>
    <row r="4179" spans="19:19">
      <c r="S4179" s="109"/>
    </row>
    <row r="4180" spans="19:19">
      <c r="S4180" s="109"/>
    </row>
    <row r="4181" spans="19:19">
      <c r="S4181" s="109"/>
    </row>
    <row r="4182" spans="19:19">
      <c r="S4182" s="109"/>
    </row>
    <row r="4183" spans="19:19">
      <c r="S4183" s="109"/>
    </row>
    <row r="4184" spans="19:19">
      <c r="S4184" s="109"/>
    </row>
    <row r="4185" spans="19:19">
      <c r="S4185" s="109"/>
    </row>
    <row r="4186" spans="19:19">
      <c r="S4186" s="109"/>
    </row>
    <row r="4187" spans="19:19">
      <c r="S4187" s="109"/>
    </row>
    <row r="4188" spans="19:19">
      <c r="S4188" s="109"/>
    </row>
    <row r="4189" spans="19:19">
      <c r="S4189" s="109"/>
    </row>
    <row r="4190" spans="19:19">
      <c r="S4190" s="109"/>
    </row>
    <row r="4191" spans="19:19">
      <c r="S4191" s="109"/>
    </row>
    <row r="4192" spans="19:19">
      <c r="S4192" s="109"/>
    </row>
    <row r="4193" spans="19:19">
      <c r="S4193" s="109"/>
    </row>
    <row r="4194" spans="19:19">
      <c r="S4194" s="109"/>
    </row>
    <row r="4195" spans="19:19">
      <c r="S4195" s="109"/>
    </row>
    <row r="4196" spans="19:19">
      <c r="S4196" s="109"/>
    </row>
    <row r="4197" spans="19:19">
      <c r="S4197" s="109"/>
    </row>
    <row r="4198" spans="19:19">
      <c r="S4198" s="109"/>
    </row>
    <row r="4199" spans="19:19">
      <c r="S4199" s="109"/>
    </row>
    <row r="4200" spans="19:19">
      <c r="S4200" s="109"/>
    </row>
    <row r="4201" spans="19:19">
      <c r="S4201" s="109"/>
    </row>
    <row r="4202" spans="19:19">
      <c r="S4202" s="109"/>
    </row>
    <row r="4203" spans="19:19">
      <c r="S4203" s="109"/>
    </row>
    <row r="4204" spans="19:19">
      <c r="S4204" s="109"/>
    </row>
    <row r="4205" spans="19:19">
      <c r="S4205" s="109"/>
    </row>
    <row r="4206" spans="19:19">
      <c r="S4206" s="109"/>
    </row>
    <row r="4207" spans="19:19">
      <c r="S4207" s="109"/>
    </row>
    <row r="4208" spans="19:19">
      <c r="S4208" s="109"/>
    </row>
    <row r="4209" spans="19:19">
      <c r="S4209" s="109"/>
    </row>
    <row r="4210" spans="19:19">
      <c r="S4210" s="109"/>
    </row>
    <row r="4211" spans="19:19">
      <c r="S4211" s="109"/>
    </row>
    <row r="4212" spans="19:19">
      <c r="S4212" s="109"/>
    </row>
    <row r="4213" spans="19:19">
      <c r="S4213" s="109"/>
    </row>
    <row r="4214" spans="19:19">
      <c r="S4214" s="109"/>
    </row>
    <row r="4215" spans="19:19">
      <c r="S4215" s="109"/>
    </row>
    <row r="4216" spans="19:19">
      <c r="S4216" s="109"/>
    </row>
    <row r="4217" spans="19:19">
      <c r="S4217" s="109"/>
    </row>
    <row r="4218" spans="19:19">
      <c r="S4218" s="109"/>
    </row>
    <row r="4219" spans="19:19">
      <c r="S4219" s="109"/>
    </row>
    <row r="4220" spans="19:19">
      <c r="S4220" s="109"/>
    </row>
    <row r="4221" spans="19:19">
      <c r="S4221" s="109"/>
    </row>
    <row r="4222" spans="19:19">
      <c r="S4222" s="109"/>
    </row>
    <row r="4223" spans="19:19">
      <c r="S4223" s="109"/>
    </row>
    <row r="4224" spans="19:19">
      <c r="S4224" s="109"/>
    </row>
    <row r="4225" spans="19:19">
      <c r="S4225" s="109"/>
    </row>
    <row r="4226" spans="19:19">
      <c r="S4226" s="109"/>
    </row>
    <row r="4227" spans="19:19">
      <c r="S4227" s="109"/>
    </row>
    <row r="4228" spans="19:19">
      <c r="S4228" s="109"/>
    </row>
    <row r="4229" spans="19:19">
      <c r="S4229" s="109"/>
    </row>
    <row r="4230" spans="19:19">
      <c r="S4230" s="109"/>
    </row>
    <row r="4231" spans="19:19">
      <c r="S4231" s="109"/>
    </row>
    <row r="4232" spans="19:19">
      <c r="S4232" s="109"/>
    </row>
    <row r="4233" spans="19:19">
      <c r="S4233" s="109"/>
    </row>
    <row r="4234" spans="19:19">
      <c r="S4234" s="109"/>
    </row>
    <row r="4235" spans="19:19">
      <c r="S4235" s="109"/>
    </row>
    <row r="4236" spans="19:19">
      <c r="S4236" s="109"/>
    </row>
    <row r="4237" spans="19:19">
      <c r="S4237" s="109"/>
    </row>
    <row r="4238" spans="19:19">
      <c r="S4238" s="109"/>
    </row>
    <row r="4239" spans="19:19">
      <c r="S4239" s="109"/>
    </row>
    <row r="4240" spans="19:19">
      <c r="S4240" s="109"/>
    </row>
    <row r="4241" spans="19:19">
      <c r="S4241" s="109"/>
    </row>
    <row r="4242" spans="19:19">
      <c r="S4242" s="109"/>
    </row>
    <row r="4243" spans="19:19">
      <c r="S4243" s="109"/>
    </row>
    <row r="4244" spans="19:19">
      <c r="S4244" s="109"/>
    </row>
    <row r="4245" spans="19:19">
      <c r="S4245" s="109"/>
    </row>
    <row r="4246" spans="19:19">
      <c r="S4246" s="109"/>
    </row>
    <row r="4247" spans="19:19">
      <c r="S4247" s="109"/>
    </row>
    <row r="4248" spans="19:19">
      <c r="S4248" s="109"/>
    </row>
    <row r="4249" spans="19:19">
      <c r="S4249" s="109"/>
    </row>
    <row r="4250" spans="19:19">
      <c r="S4250" s="109"/>
    </row>
    <row r="4251" spans="19:19">
      <c r="S4251" s="109"/>
    </row>
    <row r="4252" spans="19:19">
      <c r="S4252" s="109"/>
    </row>
    <row r="4253" spans="19:19">
      <c r="S4253" s="109"/>
    </row>
    <row r="4254" spans="19:19">
      <c r="S4254" s="109"/>
    </row>
    <row r="4255" spans="19:19">
      <c r="S4255" s="109"/>
    </row>
    <row r="4256" spans="19:19">
      <c r="S4256" s="109"/>
    </row>
    <row r="4257" spans="19:19">
      <c r="S4257" s="109"/>
    </row>
    <row r="4258" spans="19:19">
      <c r="S4258" s="109"/>
    </row>
    <row r="4259" spans="19:19">
      <c r="S4259" s="109"/>
    </row>
    <row r="4260" spans="19:19">
      <c r="S4260" s="109"/>
    </row>
    <row r="4261" spans="19:19">
      <c r="S4261" s="109"/>
    </row>
    <row r="4262" spans="19:19">
      <c r="S4262" s="109"/>
    </row>
    <row r="4263" spans="19:19">
      <c r="S4263" s="109"/>
    </row>
    <row r="4264" spans="19:19">
      <c r="S4264" s="109"/>
    </row>
    <row r="4265" spans="19:19">
      <c r="S4265" s="109"/>
    </row>
    <row r="4266" spans="19:19">
      <c r="S4266" s="109"/>
    </row>
    <row r="4267" spans="19:19">
      <c r="S4267" s="109"/>
    </row>
    <row r="4268" spans="19:19">
      <c r="S4268" s="109"/>
    </row>
    <row r="4269" spans="19:19">
      <c r="S4269" s="109"/>
    </row>
    <row r="4270" spans="19:19">
      <c r="S4270" s="109"/>
    </row>
    <row r="4271" spans="19:19">
      <c r="S4271" s="109"/>
    </row>
    <row r="4272" spans="19:19">
      <c r="S4272" s="109"/>
    </row>
    <row r="4273" spans="19:19">
      <c r="S4273" s="109"/>
    </row>
    <row r="4274" spans="19:19">
      <c r="S4274" s="109"/>
    </row>
    <row r="4275" spans="19:19">
      <c r="S4275" s="109"/>
    </row>
    <row r="4276" spans="19:19">
      <c r="S4276" s="109"/>
    </row>
    <row r="4277" spans="19:19">
      <c r="S4277" s="109"/>
    </row>
    <row r="4278" spans="19:19">
      <c r="S4278" s="109"/>
    </row>
    <row r="4279" spans="19:19">
      <c r="S4279" s="109"/>
    </row>
    <row r="4280" spans="19:19">
      <c r="S4280" s="109"/>
    </row>
    <row r="4281" spans="19:19">
      <c r="S4281" s="109"/>
    </row>
    <row r="4282" spans="19:19">
      <c r="S4282" s="109"/>
    </row>
    <row r="4283" spans="19:19">
      <c r="S4283" s="109"/>
    </row>
    <row r="4284" spans="19:19">
      <c r="S4284" s="109"/>
    </row>
    <row r="4285" spans="19:19">
      <c r="S4285" s="109"/>
    </row>
    <row r="4286" spans="19:19">
      <c r="S4286" s="109"/>
    </row>
    <row r="4287" spans="19:19">
      <c r="S4287" s="109"/>
    </row>
    <row r="4288" spans="19:19">
      <c r="S4288" s="109"/>
    </row>
    <row r="4289" spans="19:19">
      <c r="S4289" s="109"/>
    </row>
    <row r="4290" spans="19:19">
      <c r="S4290" s="109"/>
    </row>
    <row r="4291" spans="19:19">
      <c r="S4291" s="109"/>
    </row>
    <row r="4292" spans="19:19">
      <c r="S4292" s="109"/>
    </row>
    <row r="4293" spans="19:19">
      <c r="S4293" s="109"/>
    </row>
    <row r="4294" spans="19:19">
      <c r="S4294" s="109"/>
    </row>
    <row r="4295" spans="19:19">
      <c r="S4295" s="109"/>
    </row>
    <row r="4296" spans="19:19">
      <c r="S4296" s="109"/>
    </row>
    <row r="4297" spans="19:19">
      <c r="S4297" s="109"/>
    </row>
    <row r="4298" spans="19:19">
      <c r="S4298" s="109"/>
    </row>
    <row r="4299" spans="19:19">
      <c r="S4299" s="109"/>
    </row>
    <row r="4300" spans="19:19">
      <c r="S4300" s="109"/>
    </row>
    <row r="4301" spans="19:19">
      <c r="S4301" s="109"/>
    </row>
    <row r="4302" spans="19:19">
      <c r="S4302" s="109"/>
    </row>
    <row r="4303" spans="19:19">
      <c r="S4303" s="109"/>
    </row>
    <row r="4304" spans="19:19">
      <c r="S4304" s="109"/>
    </row>
    <row r="4305" spans="19:19">
      <c r="S4305" s="109"/>
    </row>
    <row r="4306" spans="19:19">
      <c r="S4306" s="109"/>
    </row>
    <row r="4307" spans="19:19">
      <c r="S4307" s="109"/>
    </row>
    <row r="4308" spans="19:19">
      <c r="S4308" s="109"/>
    </row>
    <row r="4309" spans="19:19">
      <c r="S4309" s="109"/>
    </row>
    <row r="4310" spans="19:19">
      <c r="S4310" s="109"/>
    </row>
    <row r="4311" spans="19:19">
      <c r="S4311" s="109"/>
    </row>
    <row r="4312" spans="19:19">
      <c r="S4312" s="109"/>
    </row>
    <row r="4313" spans="19:19">
      <c r="S4313" s="109"/>
    </row>
    <row r="4314" spans="19:19">
      <c r="S4314" s="109"/>
    </row>
    <row r="4315" spans="19:19">
      <c r="S4315" s="109"/>
    </row>
    <row r="4316" spans="19:19">
      <c r="S4316" s="109"/>
    </row>
    <row r="4317" spans="19:19">
      <c r="S4317" s="109"/>
    </row>
    <row r="4318" spans="19:19">
      <c r="S4318" s="109"/>
    </row>
    <row r="4319" spans="19:19">
      <c r="S4319" s="109"/>
    </row>
    <row r="4320" spans="19:19">
      <c r="S4320" s="109"/>
    </row>
    <row r="4321" spans="19:19">
      <c r="S4321" s="109"/>
    </row>
    <row r="4322" spans="19:19">
      <c r="S4322" s="109"/>
    </row>
    <row r="4323" spans="19:19">
      <c r="S4323" s="109"/>
    </row>
    <row r="4324" spans="19:19">
      <c r="S4324" s="109"/>
    </row>
    <row r="4325" spans="19:19">
      <c r="S4325" s="109"/>
    </row>
    <row r="4326" spans="19:19">
      <c r="S4326" s="109"/>
    </row>
    <row r="4327" spans="19:19">
      <c r="S4327" s="109"/>
    </row>
    <row r="4328" spans="19:19">
      <c r="S4328" s="109"/>
    </row>
    <row r="4329" spans="19:19">
      <c r="S4329" s="109"/>
    </row>
    <row r="4330" spans="19:19">
      <c r="S4330" s="109"/>
    </row>
    <row r="4331" spans="19:19">
      <c r="S4331" s="109"/>
    </row>
    <row r="4332" spans="19:19">
      <c r="S4332" s="109"/>
    </row>
    <row r="4333" spans="19:19">
      <c r="S4333" s="109"/>
    </row>
    <row r="4334" spans="19:19">
      <c r="S4334" s="109"/>
    </row>
    <row r="4335" spans="19:19">
      <c r="S4335" s="109"/>
    </row>
    <row r="4336" spans="19:19">
      <c r="S4336" s="109"/>
    </row>
    <row r="4337" spans="19:19">
      <c r="S4337" s="109"/>
    </row>
    <row r="4338" spans="19:19">
      <c r="S4338" s="109"/>
    </row>
    <row r="4339" spans="19:19">
      <c r="S4339" s="109"/>
    </row>
    <row r="4340" spans="19:19">
      <c r="S4340" s="109"/>
    </row>
    <row r="4341" spans="19:19">
      <c r="S4341" s="109"/>
    </row>
    <row r="4342" spans="19:19">
      <c r="S4342" s="109"/>
    </row>
    <row r="4343" spans="19:19">
      <c r="S4343" s="109"/>
    </row>
    <row r="4344" spans="19:19">
      <c r="S4344" s="109"/>
    </row>
    <row r="4345" spans="19:19">
      <c r="S4345" s="109"/>
    </row>
    <row r="4346" spans="19:19">
      <c r="S4346" s="109"/>
    </row>
    <row r="4347" spans="19:19">
      <c r="S4347" s="109"/>
    </row>
    <row r="4348" spans="19:19">
      <c r="S4348" s="109"/>
    </row>
    <row r="4349" spans="19:19">
      <c r="S4349" s="109"/>
    </row>
    <row r="4350" spans="19:19">
      <c r="S4350" s="109"/>
    </row>
    <row r="4351" spans="19:19">
      <c r="S4351" s="109"/>
    </row>
    <row r="4352" spans="19:19">
      <c r="S4352" s="109"/>
    </row>
    <row r="4353" spans="19:19">
      <c r="S4353" s="109"/>
    </row>
    <row r="4354" spans="19:19">
      <c r="S4354" s="109"/>
    </row>
    <row r="4355" spans="19:19">
      <c r="S4355" s="109"/>
    </row>
    <row r="4356" spans="19:19">
      <c r="S4356" s="109"/>
    </row>
    <row r="4357" spans="19:19">
      <c r="S4357" s="109"/>
    </row>
    <row r="4358" spans="19:19">
      <c r="S4358" s="109"/>
    </row>
    <row r="4359" spans="19:19">
      <c r="S4359" s="109"/>
    </row>
    <row r="4360" spans="19:19">
      <c r="S4360" s="109"/>
    </row>
    <row r="4361" spans="19:19">
      <c r="S4361" s="109"/>
    </row>
    <row r="4362" spans="19:19">
      <c r="S4362" s="109"/>
    </row>
    <row r="4363" spans="19:19">
      <c r="S4363" s="109"/>
    </row>
    <row r="4364" spans="19:19">
      <c r="S4364" s="109"/>
    </row>
    <row r="4365" spans="19:19">
      <c r="S4365" s="109"/>
    </row>
    <row r="4366" spans="19:19">
      <c r="S4366" s="109"/>
    </row>
    <row r="4367" spans="19:19">
      <c r="S4367" s="109"/>
    </row>
    <row r="4368" spans="19:19">
      <c r="S4368" s="109"/>
    </row>
    <row r="4369" spans="19:19">
      <c r="S4369" s="109"/>
    </row>
    <row r="4370" spans="19:19">
      <c r="S4370" s="109"/>
    </row>
    <row r="4371" spans="19:19">
      <c r="S4371" s="109"/>
    </row>
    <row r="4372" spans="19:19">
      <c r="S4372" s="109"/>
    </row>
    <row r="4373" spans="19:19">
      <c r="S4373" s="109"/>
    </row>
    <row r="4374" spans="19:19">
      <c r="S4374" s="109"/>
    </row>
    <row r="4375" spans="19:19">
      <c r="S4375" s="109"/>
    </row>
    <row r="4376" spans="19:19">
      <c r="S4376" s="109"/>
    </row>
    <row r="4377" spans="19:19">
      <c r="S4377" s="109"/>
    </row>
    <row r="4378" spans="19:19">
      <c r="S4378" s="109"/>
    </row>
    <row r="4379" spans="19:19">
      <c r="S4379" s="109"/>
    </row>
    <row r="4380" spans="19:19">
      <c r="S4380" s="109"/>
    </row>
    <row r="4381" spans="19:19">
      <c r="S4381" s="109"/>
    </row>
    <row r="4382" spans="19:19">
      <c r="S4382" s="109"/>
    </row>
    <row r="4383" spans="19:19">
      <c r="S4383" s="109"/>
    </row>
    <row r="4384" spans="19:19">
      <c r="S4384" s="109"/>
    </row>
    <row r="4385" spans="19:19">
      <c r="S4385" s="109"/>
    </row>
    <row r="4386" spans="19:19">
      <c r="S4386" s="109"/>
    </row>
    <row r="4387" spans="19:19">
      <c r="S4387" s="109"/>
    </row>
    <row r="4388" spans="19:19">
      <c r="S4388" s="109"/>
    </row>
    <row r="4389" spans="19:19">
      <c r="S4389" s="109"/>
    </row>
    <row r="4390" spans="19:19">
      <c r="S4390" s="109"/>
    </row>
    <row r="4391" spans="19:19">
      <c r="S4391" s="109"/>
    </row>
    <row r="4392" spans="19:19">
      <c r="S4392" s="109"/>
    </row>
    <row r="4393" spans="19:19">
      <c r="S4393" s="109"/>
    </row>
    <row r="4394" spans="19:19">
      <c r="S4394" s="109"/>
    </row>
    <row r="4395" spans="19:19">
      <c r="S4395" s="109"/>
    </row>
    <row r="4396" spans="19:19">
      <c r="S4396" s="109"/>
    </row>
    <row r="4397" spans="19:19">
      <c r="S4397" s="109"/>
    </row>
    <row r="4398" spans="19:19">
      <c r="S4398" s="109"/>
    </row>
    <row r="4399" spans="19:19">
      <c r="S4399" s="109"/>
    </row>
    <row r="4400" spans="19:19">
      <c r="S4400" s="109"/>
    </row>
    <row r="4401" spans="19:19">
      <c r="S4401" s="109"/>
    </row>
    <row r="4402" spans="19:19">
      <c r="S4402" s="109"/>
    </row>
    <row r="4403" spans="19:19">
      <c r="S4403" s="109"/>
    </row>
    <row r="4404" spans="19:19">
      <c r="S4404" s="109"/>
    </row>
    <row r="4405" spans="19:19">
      <c r="S4405" s="109"/>
    </row>
    <row r="4406" spans="19:19">
      <c r="S4406" s="109"/>
    </row>
    <row r="4407" spans="19:19">
      <c r="S4407" s="109"/>
    </row>
    <row r="4408" spans="19:19">
      <c r="S4408" s="109"/>
    </row>
    <row r="4409" spans="19:19">
      <c r="S4409" s="109"/>
    </row>
    <row r="4410" spans="19:19">
      <c r="S4410" s="109"/>
    </row>
    <row r="4411" spans="19:19">
      <c r="S4411" s="109"/>
    </row>
    <row r="4412" spans="19:19">
      <c r="S4412" s="109"/>
    </row>
    <row r="4413" spans="19:19">
      <c r="S4413" s="109"/>
    </row>
    <row r="4414" spans="19:19">
      <c r="S4414" s="109"/>
    </row>
    <row r="4415" spans="19:19">
      <c r="S4415" s="109"/>
    </row>
    <row r="4416" spans="19:19">
      <c r="S4416" s="109"/>
    </row>
    <row r="4417" spans="19:19">
      <c r="S4417" s="109"/>
    </row>
    <row r="4418" spans="19:19">
      <c r="S4418" s="109"/>
    </row>
    <row r="4419" spans="19:19">
      <c r="S4419" s="109"/>
    </row>
    <row r="4420" spans="19:19">
      <c r="S4420" s="109"/>
    </row>
    <row r="4421" spans="19:19">
      <c r="S4421" s="109"/>
    </row>
    <row r="4422" spans="19:19">
      <c r="S4422" s="109"/>
    </row>
    <row r="4423" spans="19:19">
      <c r="S4423" s="109"/>
    </row>
    <row r="4424" spans="19:19">
      <c r="S4424" s="109"/>
    </row>
    <row r="4425" spans="19:19">
      <c r="S4425" s="109"/>
    </row>
    <row r="4426" spans="19:19">
      <c r="S4426" s="109"/>
    </row>
    <row r="4427" spans="19:19">
      <c r="S4427" s="109"/>
    </row>
    <row r="4428" spans="19:19">
      <c r="S4428" s="109"/>
    </row>
    <row r="4429" spans="19:19">
      <c r="S4429" s="109"/>
    </row>
    <row r="4430" spans="19:19">
      <c r="S4430" s="109"/>
    </row>
    <row r="4431" spans="19:19">
      <c r="S4431" s="109"/>
    </row>
    <row r="4432" spans="19:19">
      <c r="S4432" s="109"/>
    </row>
    <row r="4433" spans="19:19">
      <c r="S4433" s="109"/>
    </row>
    <row r="4434" spans="19:19">
      <c r="S4434" s="109"/>
    </row>
    <row r="4435" spans="19:19">
      <c r="S4435" s="109"/>
    </row>
    <row r="4436" spans="19:19">
      <c r="S4436" s="109"/>
    </row>
    <row r="4437" spans="19:19">
      <c r="S4437" s="109"/>
    </row>
    <row r="4438" spans="19:19">
      <c r="S4438" s="109"/>
    </row>
    <row r="4439" spans="19:19">
      <c r="S4439" s="109"/>
    </row>
    <row r="4440" spans="19:19">
      <c r="S4440" s="109"/>
    </row>
    <row r="4441" spans="19:19">
      <c r="S4441" s="109"/>
    </row>
    <row r="4442" spans="19:19">
      <c r="S4442" s="109"/>
    </row>
    <row r="4443" spans="19:19">
      <c r="S4443" s="109"/>
    </row>
    <row r="4444" spans="19:19">
      <c r="S4444" s="109"/>
    </row>
    <row r="4445" spans="19:19">
      <c r="S4445" s="109"/>
    </row>
    <row r="4446" spans="19:19">
      <c r="S4446" s="109"/>
    </row>
    <row r="4447" spans="19:19">
      <c r="S4447" s="109"/>
    </row>
    <row r="4448" spans="19:19">
      <c r="S4448" s="109"/>
    </row>
    <row r="4449" spans="19:19">
      <c r="S4449" s="109"/>
    </row>
    <row r="4450" spans="19:19">
      <c r="S4450" s="109"/>
    </row>
    <row r="4451" spans="19:19">
      <c r="S4451" s="109"/>
    </row>
    <row r="4452" spans="19:19">
      <c r="S4452" s="109"/>
    </row>
    <row r="4453" spans="19:19">
      <c r="S4453" s="109"/>
    </row>
    <row r="4454" spans="19:19">
      <c r="S4454" s="109"/>
    </row>
    <row r="4455" spans="19:19">
      <c r="S4455" s="109"/>
    </row>
    <row r="4456" spans="19:19">
      <c r="S4456" s="109"/>
    </row>
    <row r="4457" spans="19:19">
      <c r="S4457" s="109"/>
    </row>
    <row r="4458" spans="19:19">
      <c r="S4458" s="109"/>
    </row>
    <row r="4459" spans="19:19">
      <c r="S4459" s="109"/>
    </row>
    <row r="4460" spans="19:19">
      <c r="S4460" s="109"/>
    </row>
    <row r="4461" spans="19:19">
      <c r="S4461" s="109"/>
    </row>
    <row r="4462" spans="19:19">
      <c r="S4462" s="109"/>
    </row>
    <row r="4463" spans="19:19">
      <c r="S4463" s="109"/>
    </row>
    <row r="4464" spans="19:19">
      <c r="S4464" s="109"/>
    </row>
    <row r="4465" spans="19:19">
      <c r="S4465" s="109"/>
    </row>
    <row r="4466" spans="19:19">
      <c r="S4466" s="109"/>
    </row>
    <row r="4467" spans="19:19">
      <c r="S4467" s="109"/>
    </row>
    <row r="4468" spans="19:19">
      <c r="S4468" s="109"/>
    </row>
    <row r="4469" spans="19:19">
      <c r="S4469" s="109"/>
    </row>
    <row r="4470" spans="19:19">
      <c r="S4470" s="109"/>
    </row>
    <row r="4471" spans="19:19">
      <c r="S4471" s="109"/>
    </row>
    <row r="4472" spans="19:19">
      <c r="S4472" s="109"/>
    </row>
    <row r="4473" spans="19:19">
      <c r="S4473" s="109"/>
    </row>
    <row r="4474" spans="19:19">
      <c r="S4474" s="109"/>
    </row>
    <row r="4475" spans="19:19">
      <c r="S4475" s="109"/>
    </row>
    <row r="4476" spans="19:19">
      <c r="S4476" s="109"/>
    </row>
    <row r="4477" spans="19:19">
      <c r="S4477" s="109"/>
    </row>
    <row r="4478" spans="19:19">
      <c r="S4478" s="109"/>
    </row>
    <row r="4479" spans="19:19">
      <c r="S4479" s="109"/>
    </row>
    <row r="4480" spans="19:19">
      <c r="S4480" s="109"/>
    </row>
    <row r="4481" spans="19:19">
      <c r="S4481" s="109"/>
    </row>
    <row r="4482" spans="19:19">
      <c r="S4482" s="109"/>
    </row>
    <row r="4483" spans="19:19">
      <c r="S4483" s="109"/>
    </row>
    <row r="4484" spans="19:19">
      <c r="S4484" s="109"/>
    </row>
    <row r="4485" spans="19:19">
      <c r="S4485" s="109"/>
    </row>
    <row r="4486" spans="19:19">
      <c r="S4486" s="109"/>
    </row>
    <row r="4487" spans="19:19">
      <c r="S4487" s="109"/>
    </row>
    <row r="4488" spans="19:19">
      <c r="S4488" s="109"/>
    </row>
    <row r="4489" spans="19:19">
      <c r="S4489" s="109"/>
    </row>
    <row r="4490" spans="19:19">
      <c r="S4490" s="109"/>
    </row>
    <row r="4491" spans="19:19">
      <c r="S4491" s="109"/>
    </row>
    <row r="4492" spans="19:19">
      <c r="S4492" s="109"/>
    </row>
    <row r="4493" spans="19:19">
      <c r="S4493" s="109"/>
    </row>
    <row r="4494" spans="19:19">
      <c r="S4494" s="109"/>
    </row>
    <row r="4495" spans="19:19">
      <c r="S4495" s="109"/>
    </row>
    <row r="4496" spans="19:19">
      <c r="S4496" s="109"/>
    </row>
    <row r="4497" spans="19:19">
      <c r="S4497" s="109"/>
    </row>
    <row r="4498" spans="19:19">
      <c r="S4498" s="109"/>
    </row>
    <row r="4499" spans="19:19">
      <c r="S4499" s="109"/>
    </row>
    <row r="4500" spans="19:19">
      <c r="S4500" s="109"/>
    </row>
    <row r="4501" spans="19:19">
      <c r="S4501" s="109"/>
    </row>
    <row r="4502" spans="19:19">
      <c r="S4502" s="109"/>
    </row>
    <row r="4503" spans="19:19">
      <c r="S4503" s="109"/>
    </row>
    <row r="4504" spans="19:19">
      <c r="S4504" s="109"/>
    </row>
    <row r="4505" spans="19:19">
      <c r="S4505" s="109"/>
    </row>
    <row r="4506" spans="19:19">
      <c r="S4506" s="109"/>
    </row>
    <row r="4507" spans="19:19">
      <c r="S4507" s="109"/>
    </row>
    <row r="4508" spans="19:19">
      <c r="S4508" s="109"/>
    </row>
    <row r="4509" spans="19:19">
      <c r="S4509" s="109"/>
    </row>
    <row r="4510" spans="19:19">
      <c r="S4510" s="109"/>
    </row>
    <row r="4511" spans="19:19">
      <c r="S4511" s="109"/>
    </row>
    <row r="4512" spans="19:19">
      <c r="S4512" s="109"/>
    </row>
    <row r="4513" spans="19:19">
      <c r="S4513" s="109"/>
    </row>
    <row r="4514" spans="19:19">
      <c r="S4514" s="109"/>
    </row>
    <row r="4515" spans="19:19">
      <c r="S4515" s="109"/>
    </row>
    <row r="4516" spans="19:19">
      <c r="S4516" s="109"/>
    </row>
    <row r="4517" spans="19:19">
      <c r="S4517" s="109"/>
    </row>
    <row r="4518" spans="19:19">
      <c r="S4518" s="109"/>
    </row>
    <row r="4519" spans="19:19">
      <c r="S4519" s="109"/>
    </row>
    <row r="4520" spans="19:19">
      <c r="S4520" s="109"/>
    </row>
    <row r="4521" spans="19:19">
      <c r="S4521" s="109"/>
    </row>
    <row r="4522" spans="19:19">
      <c r="S4522" s="109"/>
    </row>
    <row r="4523" spans="19:19">
      <c r="S4523" s="109"/>
    </row>
    <row r="4524" spans="19:19">
      <c r="S4524" s="109"/>
    </row>
    <row r="4525" spans="19:19">
      <c r="S4525" s="109"/>
    </row>
    <row r="4526" spans="19:19">
      <c r="S4526" s="109"/>
    </row>
    <row r="4527" spans="19:19">
      <c r="S4527" s="109"/>
    </row>
    <row r="4528" spans="19:19">
      <c r="S4528" s="109"/>
    </row>
    <row r="4529" spans="19:19">
      <c r="S4529" s="109"/>
    </row>
    <row r="4530" spans="19:19">
      <c r="S4530" s="109"/>
    </row>
    <row r="4531" spans="19:19">
      <c r="S4531" s="109"/>
    </row>
    <row r="4532" spans="19:19">
      <c r="S4532" s="109"/>
    </row>
    <row r="4533" spans="19:19">
      <c r="S4533" s="109"/>
    </row>
    <row r="4534" spans="19:19">
      <c r="S4534" s="109"/>
    </row>
    <row r="4535" spans="19:19">
      <c r="S4535" s="109"/>
    </row>
    <row r="4536" spans="19:19">
      <c r="S4536" s="109"/>
    </row>
    <row r="4537" spans="19:19">
      <c r="S4537" s="109"/>
    </row>
    <row r="4538" spans="19:19">
      <c r="S4538" s="109"/>
    </row>
    <row r="4539" spans="19:19">
      <c r="S4539" s="109"/>
    </row>
    <row r="4540" spans="19:19">
      <c r="S4540" s="109"/>
    </row>
    <row r="4541" spans="19:19">
      <c r="S4541" s="109"/>
    </row>
    <row r="4542" spans="19:19">
      <c r="S4542" s="109"/>
    </row>
    <row r="4543" spans="19:19">
      <c r="S4543" s="109"/>
    </row>
    <row r="4544" spans="19:19">
      <c r="S4544" s="109"/>
    </row>
    <row r="4545" spans="19:19">
      <c r="S4545" s="109"/>
    </row>
    <row r="4546" spans="19:19">
      <c r="S4546" s="109"/>
    </row>
    <row r="4547" spans="19:19">
      <c r="S4547" s="109"/>
    </row>
    <row r="4548" spans="19:19">
      <c r="S4548" s="109"/>
    </row>
    <row r="4549" spans="19:19">
      <c r="S4549" s="109"/>
    </row>
    <row r="4550" spans="19:19">
      <c r="S4550" s="109"/>
    </row>
    <row r="4551" spans="19:19">
      <c r="S4551" s="109"/>
    </row>
    <row r="4552" spans="19:19">
      <c r="S4552" s="109"/>
    </row>
    <row r="4553" spans="19:19">
      <c r="S4553" s="109"/>
    </row>
    <row r="4554" spans="19:19">
      <c r="S4554" s="109"/>
    </row>
    <row r="4555" spans="19:19">
      <c r="S4555" s="109"/>
    </row>
    <row r="4556" spans="19:19">
      <c r="S4556" s="109"/>
    </row>
    <row r="4557" spans="19:19">
      <c r="S4557" s="109"/>
    </row>
    <row r="4558" spans="19:19">
      <c r="S4558" s="109"/>
    </row>
    <row r="4559" spans="19:19">
      <c r="S4559" s="109"/>
    </row>
    <row r="4560" spans="19:19">
      <c r="S4560" s="109"/>
    </row>
    <row r="4561" spans="19:19">
      <c r="S4561" s="109"/>
    </row>
    <row r="4562" spans="19:19">
      <c r="S4562" s="109"/>
    </row>
    <row r="4563" spans="19:19">
      <c r="S4563" s="109"/>
    </row>
    <row r="4564" spans="19:19">
      <c r="S4564" s="109"/>
    </row>
    <row r="4565" spans="19:19">
      <c r="S4565" s="109"/>
    </row>
    <row r="4566" spans="19:19">
      <c r="S4566" s="109"/>
    </row>
    <row r="4567" spans="19:19">
      <c r="S4567" s="109"/>
    </row>
    <row r="4568" spans="19:19">
      <c r="S4568" s="109"/>
    </row>
    <row r="4569" spans="19:19">
      <c r="S4569" s="109"/>
    </row>
    <row r="4570" spans="19:19">
      <c r="S4570" s="109"/>
    </row>
    <row r="4571" spans="19:19">
      <c r="S4571" s="109"/>
    </row>
    <row r="4572" spans="19:19">
      <c r="S4572" s="109"/>
    </row>
    <row r="4573" spans="19:19">
      <c r="S4573" s="109"/>
    </row>
    <row r="4574" spans="19:19">
      <c r="S4574" s="109"/>
    </row>
    <row r="4575" spans="19:19">
      <c r="S4575" s="109"/>
    </row>
    <row r="4576" spans="19:19">
      <c r="S4576" s="109"/>
    </row>
    <row r="4577" spans="19:19">
      <c r="S4577" s="109"/>
    </row>
    <row r="4578" spans="19:19">
      <c r="S4578" s="109"/>
    </row>
    <row r="4579" spans="19:19">
      <c r="S4579" s="109"/>
    </row>
    <row r="4580" spans="19:19">
      <c r="S4580" s="109"/>
    </row>
    <row r="4581" spans="19:19">
      <c r="S4581" s="109"/>
    </row>
    <row r="4582" spans="19:19">
      <c r="S4582" s="109"/>
    </row>
    <row r="4583" spans="19:19">
      <c r="S4583" s="109"/>
    </row>
    <row r="4584" spans="19:19">
      <c r="S4584" s="109"/>
    </row>
    <row r="4585" spans="19:19">
      <c r="S4585" s="109"/>
    </row>
    <row r="4586" spans="19:19">
      <c r="S4586" s="109"/>
    </row>
    <row r="4587" spans="19:19">
      <c r="S4587" s="109"/>
    </row>
    <row r="4588" spans="19:19">
      <c r="S4588" s="109"/>
    </row>
    <row r="4589" spans="19:19">
      <c r="S4589" s="109"/>
    </row>
    <row r="4590" spans="19:19">
      <c r="S4590" s="109"/>
    </row>
    <row r="4591" spans="19:19">
      <c r="S4591" s="109"/>
    </row>
    <row r="4592" spans="19:19">
      <c r="S4592" s="109"/>
    </row>
    <row r="4593" spans="19:19">
      <c r="S4593" s="109"/>
    </row>
    <row r="4594" spans="19:19">
      <c r="S4594" s="109"/>
    </row>
    <row r="4595" spans="19:19">
      <c r="S4595" s="109"/>
    </row>
    <row r="4596" spans="19:19">
      <c r="S4596" s="109"/>
    </row>
    <row r="4597" spans="19:19">
      <c r="S4597" s="109"/>
    </row>
    <row r="4598" spans="19:19">
      <c r="S4598" s="109"/>
    </row>
    <row r="4599" spans="19:19">
      <c r="S4599" s="109"/>
    </row>
    <row r="4600" spans="19:19">
      <c r="S4600" s="109"/>
    </row>
    <row r="4601" spans="19:19">
      <c r="S4601" s="109"/>
    </row>
    <row r="4602" spans="19:19">
      <c r="S4602" s="109"/>
    </row>
    <row r="4603" spans="19:19">
      <c r="S4603" s="109"/>
    </row>
    <row r="4604" spans="19:19">
      <c r="S4604" s="109"/>
    </row>
    <row r="4605" spans="19:19">
      <c r="S4605" s="109"/>
    </row>
    <row r="4606" spans="19:19">
      <c r="S4606" s="109"/>
    </row>
    <row r="4607" spans="19:19">
      <c r="S4607" s="109"/>
    </row>
    <row r="4608" spans="19:19">
      <c r="S4608" s="109"/>
    </row>
    <row r="4609" spans="19:19">
      <c r="S4609" s="109"/>
    </row>
    <row r="4610" spans="19:19">
      <c r="S4610" s="109"/>
    </row>
    <row r="4611" spans="19:19">
      <c r="S4611" s="109"/>
    </row>
    <row r="4612" spans="19:19">
      <c r="S4612" s="109"/>
    </row>
    <row r="4613" spans="19:19">
      <c r="S4613" s="109"/>
    </row>
    <row r="4614" spans="19:19">
      <c r="S4614" s="109"/>
    </row>
    <row r="4615" spans="19:19">
      <c r="S4615" s="109"/>
    </row>
    <row r="4616" spans="19:19">
      <c r="S4616" s="109"/>
    </row>
    <row r="4617" spans="19:19">
      <c r="S4617" s="109"/>
    </row>
    <row r="4618" spans="19:19">
      <c r="S4618" s="109"/>
    </row>
    <row r="4619" spans="19:19">
      <c r="S4619" s="109"/>
    </row>
    <row r="4620" spans="19:19">
      <c r="S4620" s="109"/>
    </row>
    <row r="4621" spans="19:19">
      <c r="S4621" s="109"/>
    </row>
    <row r="4622" spans="19:19">
      <c r="S4622" s="109"/>
    </row>
    <row r="4623" spans="19:19">
      <c r="S4623" s="109"/>
    </row>
    <row r="4624" spans="19:19">
      <c r="S4624" s="109"/>
    </row>
    <row r="4625" spans="19:19">
      <c r="S4625" s="109"/>
    </row>
    <row r="4626" spans="19:19">
      <c r="S4626" s="109"/>
    </row>
    <row r="4627" spans="19:19">
      <c r="S4627" s="109"/>
    </row>
    <row r="4628" spans="19:19">
      <c r="S4628" s="109"/>
    </row>
    <row r="4629" spans="19:19">
      <c r="S4629" s="109"/>
    </row>
    <row r="4630" spans="19:19">
      <c r="S4630" s="109"/>
    </row>
    <row r="4631" spans="19:19">
      <c r="S4631" s="109"/>
    </row>
    <row r="4632" spans="19:19">
      <c r="S4632" s="109"/>
    </row>
    <row r="4633" spans="19:19">
      <c r="S4633" s="109"/>
    </row>
    <row r="4634" spans="19:19">
      <c r="S4634" s="109"/>
    </row>
    <row r="4635" spans="19:19">
      <c r="S4635" s="109"/>
    </row>
    <row r="4636" spans="19:19">
      <c r="S4636" s="109"/>
    </row>
    <row r="4637" spans="19:19">
      <c r="S4637" s="109"/>
    </row>
    <row r="4638" spans="19:19">
      <c r="S4638" s="109"/>
    </row>
    <row r="4639" spans="19:19">
      <c r="S4639" s="109"/>
    </row>
    <row r="4640" spans="19:19">
      <c r="S4640" s="109"/>
    </row>
    <row r="4641" spans="19:19">
      <c r="S4641" s="109"/>
    </row>
    <row r="4642" spans="19:19">
      <c r="S4642" s="109"/>
    </row>
    <row r="4643" spans="19:19">
      <c r="S4643" s="109"/>
    </row>
    <row r="4644" spans="19:19">
      <c r="S4644" s="109"/>
    </row>
    <row r="4645" spans="19:19">
      <c r="S4645" s="109"/>
    </row>
    <row r="4646" spans="19:19">
      <c r="S4646" s="109"/>
    </row>
    <row r="4647" spans="19:19">
      <c r="S4647" s="109"/>
    </row>
    <row r="4648" spans="19:19">
      <c r="S4648" s="109"/>
    </row>
    <row r="4649" spans="19:19">
      <c r="S4649" s="109"/>
    </row>
    <row r="4650" spans="19:19">
      <c r="S4650" s="109"/>
    </row>
    <row r="4651" spans="19:19">
      <c r="S4651" s="109"/>
    </row>
    <row r="4652" spans="19:19">
      <c r="S4652" s="109"/>
    </row>
    <row r="4653" spans="19:19">
      <c r="S4653" s="109"/>
    </row>
    <row r="4654" spans="19:19">
      <c r="S4654" s="109"/>
    </row>
    <row r="4655" spans="19:19">
      <c r="S4655" s="109"/>
    </row>
    <row r="4656" spans="19:19">
      <c r="S4656" s="109"/>
    </row>
    <row r="4657" spans="19:19">
      <c r="S4657" s="109"/>
    </row>
    <row r="4658" spans="19:19">
      <c r="S4658" s="109"/>
    </row>
    <row r="4659" spans="19:19">
      <c r="S4659" s="109"/>
    </row>
    <row r="4660" spans="19:19">
      <c r="S4660" s="109"/>
    </row>
    <row r="4661" spans="19:19">
      <c r="S4661" s="109"/>
    </row>
    <row r="4662" spans="19:19">
      <c r="S4662" s="109"/>
    </row>
    <row r="4663" spans="19:19">
      <c r="S4663" s="109"/>
    </row>
    <row r="4664" spans="19:19">
      <c r="S4664" s="109"/>
    </row>
    <row r="4665" spans="19:19">
      <c r="S4665" s="109"/>
    </row>
    <row r="4666" spans="19:19">
      <c r="S4666" s="109"/>
    </row>
    <row r="4667" spans="19:19">
      <c r="S4667" s="109"/>
    </row>
    <row r="4668" spans="19:19">
      <c r="S4668" s="109"/>
    </row>
    <row r="4669" spans="19:19">
      <c r="S4669" s="109"/>
    </row>
    <row r="4670" spans="19:19">
      <c r="S4670" s="109"/>
    </row>
    <row r="4671" spans="19:19">
      <c r="S4671" s="109"/>
    </row>
    <row r="4672" spans="19:19">
      <c r="S4672" s="109"/>
    </row>
    <row r="4673" spans="19:19">
      <c r="S4673" s="109"/>
    </row>
    <row r="4674" spans="19:19">
      <c r="S4674" s="109"/>
    </row>
    <row r="4675" spans="19:19">
      <c r="S4675" s="109"/>
    </row>
    <row r="4676" spans="19:19">
      <c r="S4676" s="109"/>
    </row>
    <row r="4677" spans="19:19">
      <c r="S4677" s="109"/>
    </row>
    <row r="4678" spans="19:19">
      <c r="S4678" s="109"/>
    </row>
    <row r="4679" spans="19:19">
      <c r="S4679" s="109"/>
    </row>
    <row r="4680" spans="19:19">
      <c r="S4680" s="109"/>
    </row>
    <row r="4681" spans="19:19">
      <c r="S4681" s="109"/>
    </row>
    <row r="4682" spans="19:19">
      <c r="S4682" s="109"/>
    </row>
    <row r="4683" spans="19:19">
      <c r="S4683" s="109"/>
    </row>
    <row r="4684" spans="19:19">
      <c r="S4684" s="109"/>
    </row>
    <row r="4685" spans="19:19">
      <c r="S4685" s="109"/>
    </row>
    <row r="4686" spans="19:19">
      <c r="S4686" s="109"/>
    </row>
    <row r="4687" spans="19:19">
      <c r="S4687" s="109"/>
    </row>
    <row r="4688" spans="19:19">
      <c r="S4688" s="109"/>
    </row>
    <row r="4689" spans="19:19">
      <c r="S4689" s="109"/>
    </row>
    <row r="4690" spans="19:19">
      <c r="S4690" s="109"/>
    </row>
    <row r="4691" spans="19:19">
      <c r="S4691" s="109"/>
    </row>
    <row r="4692" spans="19:19">
      <c r="S4692" s="109"/>
    </row>
    <row r="4693" spans="19:19">
      <c r="S4693" s="109"/>
    </row>
    <row r="4694" spans="19:19">
      <c r="S4694" s="109"/>
    </row>
    <row r="4695" spans="19:19">
      <c r="S4695" s="109"/>
    </row>
    <row r="4696" spans="19:19">
      <c r="S4696" s="109"/>
    </row>
    <row r="4697" spans="19:19">
      <c r="S4697" s="109"/>
    </row>
    <row r="4698" spans="19:19">
      <c r="S4698" s="109"/>
    </row>
    <row r="4699" spans="19:19">
      <c r="S4699" s="109"/>
    </row>
    <row r="4700" spans="19:19">
      <c r="S4700" s="109"/>
    </row>
    <row r="4701" spans="19:19">
      <c r="S4701" s="109"/>
    </row>
    <row r="4702" spans="19:19">
      <c r="S4702" s="109"/>
    </row>
    <row r="4703" spans="19:19">
      <c r="S4703" s="109"/>
    </row>
    <row r="4704" spans="19:19">
      <c r="S4704" s="109"/>
    </row>
    <row r="4705" spans="19:19">
      <c r="S4705" s="109"/>
    </row>
    <row r="4706" spans="19:19">
      <c r="S4706" s="109"/>
    </row>
    <row r="4707" spans="19:19">
      <c r="S4707" s="109"/>
    </row>
    <row r="4708" spans="19:19">
      <c r="S4708" s="109"/>
    </row>
    <row r="4709" spans="19:19">
      <c r="S4709" s="109"/>
    </row>
    <row r="4710" spans="19:19">
      <c r="S4710" s="109"/>
    </row>
    <row r="4711" spans="19:19">
      <c r="S4711" s="109"/>
    </row>
    <row r="4712" spans="19:19">
      <c r="S4712" s="109"/>
    </row>
    <row r="4713" spans="19:19">
      <c r="S4713" s="109"/>
    </row>
    <row r="4714" spans="19:19">
      <c r="S4714" s="109"/>
    </row>
    <row r="4715" spans="19:19">
      <c r="S4715" s="109"/>
    </row>
    <row r="4716" spans="19:19">
      <c r="S4716" s="109"/>
    </row>
    <row r="4717" spans="19:19">
      <c r="S4717" s="109"/>
    </row>
    <row r="4718" spans="19:19">
      <c r="S4718" s="109"/>
    </row>
    <row r="4719" spans="19:19">
      <c r="S4719" s="109"/>
    </row>
    <row r="4720" spans="19:19">
      <c r="S4720" s="109"/>
    </row>
    <row r="4721" spans="19:19">
      <c r="S4721" s="109"/>
    </row>
    <row r="4722" spans="19:19">
      <c r="S4722" s="109"/>
    </row>
    <row r="4723" spans="19:19">
      <c r="S4723" s="109"/>
    </row>
    <row r="4724" spans="19:19">
      <c r="S4724" s="109"/>
    </row>
    <row r="4725" spans="19:19">
      <c r="S4725" s="109"/>
    </row>
    <row r="4726" spans="19:19">
      <c r="S4726" s="109"/>
    </row>
    <row r="4727" spans="19:19">
      <c r="S4727" s="109"/>
    </row>
    <row r="4728" spans="19:19">
      <c r="S4728" s="109"/>
    </row>
    <row r="4729" spans="19:19">
      <c r="S4729" s="109"/>
    </row>
    <row r="4730" spans="19:19">
      <c r="S4730" s="109"/>
    </row>
    <row r="4731" spans="19:19">
      <c r="S4731" s="109"/>
    </row>
    <row r="4732" spans="19:19">
      <c r="S4732" s="109"/>
    </row>
    <row r="4733" spans="19:19">
      <c r="S4733" s="109"/>
    </row>
    <row r="4734" spans="19:19">
      <c r="S4734" s="109"/>
    </row>
    <row r="4735" spans="19:19">
      <c r="S4735" s="109"/>
    </row>
    <row r="4736" spans="19:19">
      <c r="S4736" s="109"/>
    </row>
    <row r="4737" spans="19:19">
      <c r="S4737" s="109"/>
    </row>
    <row r="4738" spans="19:19">
      <c r="S4738" s="109"/>
    </row>
    <row r="4739" spans="19:19">
      <c r="S4739" s="109"/>
    </row>
    <row r="4740" spans="19:19">
      <c r="S4740" s="109"/>
    </row>
    <row r="4741" spans="19:19">
      <c r="S4741" s="109"/>
    </row>
    <row r="4742" spans="19:19">
      <c r="S4742" s="109"/>
    </row>
    <row r="4743" spans="19:19">
      <c r="S4743" s="109"/>
    </row>
    <row r="4744" spans="19:19">
      <c r="S4744" s="109"/>
    </row>
    <row r="4745" spans="19:19">
      <c r="S4745" s="109"/>
    </row>
    <row r="4746" spans="19:19">
      <c r="S4746" s="109"/>
    </row>
    <row r="4747" spans="19:19">
      <c r="S4747" s="109"/>
    </row>
    <row r="4748" spans="19:19">
      <c r="S4748" s="109"/>
    </row>
    <row r="4749" spans="19:19">
      <c r="S4749" s="109"/>
    </row>
    <row r="4750" spans="19:19">
      <c r="S4750" s="109"/>
    </row>
    <row r="4751" spans="19:19">
      <c r="S4751" s="109"/>
    </row>
    <row r="4752" spans="19:19">
      <c r="S4752" s="109"/>
    </row>
    <row r="4753" spans="19:19">
      <c r="S4753" s="109"/>
    </row>
    <row r="4754" spans="19:19">
      <c r="S4754" s="109"/>
    </row>
    <row r="4755" spans="19:19">
      <c r="S4755" s="109"/>
    </row>
    <row r="4756" spans="19:19">
      <c r="S4756" s="109"/>
    </row>
    <row r="4757" spans="19:19">
      <c r="S4757" s="109"/>
    </row>
    <row r="4758" spans="19:19">
      <c r="S4758" s="109"/>
    </row>
    <row r="4759" spans="19:19">
      <c r="S4759" s="109"/>
    </row>
    <row r="4760" spans="19:19">
      <c r="S4760" s="109"/>
    </row>
    <row r="4761" spans="19:19">
      <c r="S4761" s="109"/>
    </row>
    <row r="4762" spans="19:19">
      <c r="S4762" s="109"/>
    </row>
    <row r="4763" spans="19:19">
      <c r="S4763" s="109"/>
    </row>
    <row r="4764" spans="19:19">
      <c r="S4764" s="109"/>
    </row>
    <row r="4765" spans="19:19">
      <c r="S4765" s="109"/>
    </row>
    <row r="4766" spans="19:19">
      <c r="S4766" s="109"/>
    </row>
    <row r="4767" spans="19:19">
      <c r="S4767" s="109"/>
    </row>
    <row r="4768" spans="19:19">
      <c r="S4768" s="109"/>
    </row>
    <row r="4769" spans="19:19">
      <c r="S4769" s="109"/>
    </row>
    <row r="4770" spans="19:19">
      <c r="S4770" s="109"/>
    </row>
    <row r="4771" spans="19:19">
      <c r="S4771" s="109"/>
    </row>
    <row r="4772" spans="19:19">
      <c r="S4772" s="109"/>
    </row>
    <row r="4773" spans="19:19">
      <c r="S4773" s="109"/>
    </row>
    <row r="4774" spans="19:19">
      <c r="S4774" s="109"/>
    </row>
    <row r="4775" spans="19:19">
      <c r="S4775" s="109"/>
    </row>
    <row r="4776" spans="19:19">
      <c r="S4776" s="109"/>
    </row>
    <row r="4777" spans="19:19">
      <c r="S4777" s="109"/>
    </row>
    <row r="4778" spans="19:19">
      <c r="S4778" s="109"/>
    </row>
    <row r="4779" spans="19:19">
      <c r="S4779" s="109"/>
    </row>
    <row r="4780" spans="19:19">
      <c r="S4780" s="109"/>
    </row>
    <row r="4781" spans="19:19">
      <c r="S4781" s="109"/>
    </row>
    <row r="4782" spans="19:19">
      <c r="S4782" s="109"/>
    </row>
    <row r="4783" spans="19:19">
      <c r="S4783" s="109"/>
    </row>
    <row r="4784" spans="19:19">
      <c r="S4784" s="109"/>
    </row>
    <row r="4785" spans="19:19">
      <c r="S4785" s="109"/>
    </row>
    <row r="4786" spans="19:19">
      <c r="S4786" s="109"/>
    </row>
    <row r="4787" spans="19:19">
      <c r="S4787" s="109"/>
    </row>
    <row r="4788" spans="19:19">
      <c r="S4788" s="109"/>
    </row>
    <row r="4789" spans="19:19">
      <c r="S4789" s="109"/>
    </row>
    <row r="4790" spans="19:19">
      <c r="S4790" s="109"/>
    </row>
    <row r="4791" spans="19:19">
      <c r="S4791" s="109"/>
    </row>
    <row r="4792" spans="19:19">
      <c r="S4792" s="109"/>
    </row>
    <row r="4793" spans="19:19">
      <c r="S4793" s="109"/>
    </row>
    <row r="4794" spans="19:19">
      <c r="S4794" s="109"/>
    </row>
    <row r="4795" spans="19:19">
      <c r="S4795" s="109"/>
    </row>
    <row r="4796" spans="19:19">
      <c r="S4796" s="109"/>
    </row>
    <row r="4797" spans="19:19">
      <c r="S4797" s="109"/>
    </row>
    <row r="4798" spans="19:19">
      <c r="S4798" s="109"/>
    </row>
    <row r="4799" spans="19:19">
      <c r="S4799" s="109"/>
    </row>
    <row r="4800" spans="19:19">
      <c r="S4800" s="109"/>
    </row>
    <row r="4801" spans="19:19">
      <c r="S4801" s="109"/>
    </row>
    <row r="4802" spans="19:19">
      <c r="S4802" s="109"/>
    </row>
    <row r="4803" spans="19:19">
      <c r="S4803" s="109"/>
    </row>
    <row r="4804" spans="19:19">
      <c r="S4804" s="109"/>
    </row>
    <row r="4805" spans="19:19">
      <c r="S4805" s="109"/>
    </row>
    <row r="4806" spans="19:19">
      <c r="S4806" s="109"/>
    </row>
    <row r="4807" spans="19:19">
      <c r="S4807" s="109"/>
    </row>
    <row r="4808" spans="19:19">
      <c r="S4808" s="109"/>
    </row>
    <row r="4809" spans="19:19">
      <c r="S4809" s="109"/>
    </row>
    <row r="4810" spans="19:19">
      <c r="S4810" s="109"/>
    </row>
    <row r="4811" spans="19:19">
      <c r="S4811" s="109"/>
    </row>
    <row r="4812" spans="19:19">
      <c r="S4812" s="109"/>
    </row>
    <row r="4813" spans="19:19">
      <c r="S4813" s="109"/>
    </row>
    <row r="4814" spans="19:19">
      <c r="S4814" s="109"/>
    </row>
    <row r="4815" spans="19:19">
      <c r="S4815" s="109"/>
    </row>
    <row r="4816" spans="19:19">
      <c r="S4816" s="109"/>
    </row>
    <row r="4817" spans="19:19">
      <c r="S4817" s="109"/>
    </row>
    <row r="4818" spans="19:19">
      <c r="S4818" s="109"/>
    </row>
    <row r="4819" spans="19:19">
      <c r="S4819" s="109"/>
    </row>
    <row r="4820" spans="19:19">
      <c r="S4820" s="109"/>
    </row>
    <row r="4821" spans="19:19">
      <c r="S4821" s="109"/>
    </row>
    <row r="4822" spans="19:19">
      <c r="S4822" s="109"/>
    </row>
    <row r="4823" spans="19:19">
      <c r="S4823" s="109"/>
    </row>
    <row r="4824" spans="19:19">
      <c r="S4824" s="109"/>
    </row>
    <row r="4825" spans="19:19">
      <c r="S4825" s="109"/>
    </row>
    <row r="4826" spans="19:19">
      <c r="S4826" s="109"/>
    </row>
    <row r="4827" spans="19:19">
      <c r="S4827" s="109"/>
    </row>
    <row r="4828" spans="19:19">
      <c r="S4828" s="109"/>
    </row>
    <row r="4829" spans="19:19">
      <c r="S4829" s="109"/>
    </row>
    <row r="4830" spans="19:19">
      <c r="S4830" s="109"/>
    </row>
    <row r="4831" spans="19:19">
      <c r="S4831" s="109"/>
    </row>
    <row r="4832" spans="19:19">
      <c r="S4832" s="109"/>
    </row>
    <row r="4833" spans="19:19">
      <c r="S4833" s="109"/>
    </row>
    <row r="4834" spans="19:19">
      <c r="S4834" s="109"/>
    </row>
    <row r="4835" spans="19:19">
      <c r="S4835" s="109"/>
    </row>
    <row r="4836" spans="19:19">
      <c r="S4836" s="109"/>
    </row>
    <row r="4837" spans="19:19">
      <c r="S4837" s="109"/>
    </row>
    <row r="4838" spans="19:19">
      <c r="S4838" s="109"/>
    </row>
    <row r="4839" spans="19:19">
      <c r="S4839" s="109"/>
    </row>
    <row r="4840" spans="19:19">
      <c r="S4840" s="109"/>
    </row>
    <row r="4841" spans="19:19">
      <c r="S4841" s="109"/>
    </row>
    <row r="4842" spans="19:19">
      <c r="S4842" s="109"/>
    </row>
    <row r="4843" spans="19:19">
      <c r="S4843" s="109"/>
    </row>
    <row r="4844" spans="19:19">
      <c r="S4844" s="109"/>
    </row>
    <row r="4845" spans="19:19">
      <c r="S4845" s="109"/>
    </row>
    <row r="4846" spans="19:19">
      <c r="S4846" s="109"/>
    </row>
    <row r="4847" spans="19:19">
      <c r="S4847" s="109"/>
    </row>
    <row r="4848" spans="19:19">
      <c r="S4848" s="109"/>
    </row>
    <row r="4849" spans="19:19">
      <c r="S4849" s="109"/>
    </row>
    <row r="4850" spans="19:19">
      <c r="S4850" s="109"/>
    </row>
    <row r="4851" spans="19:19">
      <c r="S4851" s="109"/>
    </row>
    <row r="4852" spans="19:19">
      <c r="S4852" s="109"/>
    </row>
    <row r="4853" spans="19:19">
      <c r="S4853" s="109"/>
    </row>
    <row r="4854" spans="19:19">
      <c r="S4854" s="109"/>
    </row>
    <row r="4855" spans="19:19">
      <c r="S4855" s="109"/>
    </row>
    <row r="4856" spans="19:19">
      <c r="S4856" s="109"/>
    </row>
    <row r="4857" spans="19:19">
      <c r="S4857" s="109"/>
    </row>
    <row r="4858" spans="19:19">
      <c r="S4858" s="109"/>
    </row>
    <row r="4859" spans="19:19">
      <c r="S4859" s="109"/>
    </row>
    <row r="4860" spans="19:19">
      <c r="S4860" s="109"/>
    </row>
    <row r="4861" spans="19:19">
      <c r="S4861" s="109"/>
    </row>
    <row r="4862" spans="19:19">
      <c r="S4862" s="109"/>
    </row>
    <row r="4863" spans="19:19">
      <c r="S4863" s="109"/>
    </row>
    <row r="4864" spans="19:19">
      <c r="S4864" s="109"/>
    </row>
    <row r="4865" spans="19:19">
      <c r="S4865" s="109"/>
    </row>
    <row r="4866" spans="19:19">
      <c r="S4866" s="109"/>
    </row>
    <row r="4867" spans="19:19">
      <c r="S4867" s="109"/>
    </row>
    <row r="4868" spans="19:19">
      <c r="S4868" s="109"/>
    </row>
    <row r="4869" spans="19:19">
      <c r="S4869" s="109"/>
    </row>
    <row r="4870" spans="19:19">
      <c r="S4870" s="109"/>
    </row>
    <row r="4871" spans="19:19">
      <c r="S4871" s="109"/>
    </row>
    <row r="4872" spans="19:19">
      <c r="S4872" s="109"/>
    </row>
    <row r="4873" spans="19:19">
      <c r="S4873" s="109"/>
    </row>
    <row r="4874" spans="19:19">
      <c r="S4874" s="109"/>
    </row>
    <row r="4875" spans="19:19">
      <c r="S4875" s="109"/>
    </row>
    <row r="4876" spans="19:19">
      <c r="S4876" s="109"/>
    </row>
    <row r="4877" spans="19:19">
      <c r="S4877" s="109"/>
    </row>
    <row r="4878" spans="19:19">
      <c r="S4878" s="109"/>
    </row>
    <row r="4879" spans="19:19">
      <c r="S4879" s="109"/>
    </row>
    <row r="4880" spans="19:19">
      <c r="S4880" s="109"/>
    </row>
    <row r="4881" spans="19:19">
      <c r="S4881" s="109"/>
    </row>
    <row r="4882" spans="19:19">
      <c r="S4882" s="109"/>
    </row>
    <row r="4883" spans="19:19">
      <c r="S4883" s="109"/>
    </row>
    <row r="4884" spans="19:19">
      <c r="S4884" s="109"/>
    </row>
    <row r="4885" spans="19:19">
      <c r="S4885" s="109"/>
    </row>
    <row r="4886" spans="19:19">
      <c r="S4886" s="109"/>
    </row>
    <row r="4887" spans="19:19">
      <c r="S4887" s="109"/>
    </row>
    <row r="4888" spans="19:19">
      <c r="S4888" s="109"/>
    </row>
    <row r="4889" spans="19:19">
      <c r="S4889" s="109"/>
    </row>
    <row r="4890" spans="19:19">
      <c r="S4890" s="109"/>
    </row>
    <row r="4891" spans="19:19">
      <c r="S4891" s="109"/>
    </row>
    <row r="4892" spans="19:19">
      <c r="S4892" s="109"/>
    </row>
    <row r="4893" spans="19:19">
      <c r="S4893" s="109"/>
    </row>
    <row r="4894" spans="19:19">
      <c r="S4894" s="109"/>
    </row>
    <row r="4895" spans="19:19">
      <c r="S4895" s="109"/>
    </row>
    <row r="4896" spans="19:19">
      <c r="S4896" s="109"/>
    </row>
    <row r="4897" spans="19:19">
      <c r="S4897" s="109"/>
    </row>
    <row r="4898" spans="19:19">
      <c r="S4898" s="109"/>
    </row>
    <row r="4899" spans="19:19">
      <c r="S4899" s="109"/>
    </row>
    <row r="4900" spans="19:19">
      <c r="S4900" s="109"/>
    </row>
    <row r="4901" spans="19:19">
      <c r="S4901" s="109"/>
    </row>
    <row r="4902" spans="19:19">
      <c r="S4902" s="109"/>
    </row>
    <row r="4903" spans="19:19">
      <c r="S4903" s="109"/>
    </row>
    <row r="4904" spans="19:19">
      <c r="S4904" s="109"/>
    </row>
    <row r="4905" spans="19:19">
      <c r="S4905" s="109"/>
    </row>
    <row r="4906" spans="19:19">
      <c r="S4906" s="109"/>
    </row>
    <row r="4907" spans="19:19">
      <c r="S4907" s="109"/>
    </row>
    <row r="4908" spans="19:19">
      <c r="S4908" s="109"/>
    </row>
    <row r="4909" spans="19:19">
      <c r="S4909" s="109"/>
    </row>
    <row r="4910" spans="19:19">
      <c r="S4910" s="109"/>
    </row>
    <row r="4911" spans="19:19">
      <c r="S4911" s="109"/>
    </row>
    <row r="4912" spans="19:19">
      <c r="S4912" s="109"/>
    </row>
    <row r="4913" spans="19:19">
      <c r="S4913" s="109"/>
    </row>
    <row r="4914" spans="19:19">
      <c r="S4914" s="109"/>
    </row>
    <row r="4915" spans="19:19">
      <c r="S4915" s="109"/>
    </row>
    <row r="4916" spans="19:19">
      <c r="S4916" s="109"/>
    </row>
    <row r="4917" spans="19:19">
      <c r="S4917" s="109"/>
    </row>
    <row r="4918" spans="19:19">
      <c r="S4918" s="109"/>
    </row>
    <row r="4919" spans="19:19">
      <c r="S4919" s="109"/>
    </row>
    <row r="4920" spans="19:19">
      <c r="S4920" s="109"/>
    </row>
    <row r="4921" spans="19:19">
      <c r="S4921" s="109"/>
    </row>
    <row r="4922" spans="19:19">
      <c r="S4922" s="109"/>
    </row>
    <row r="4923" spans="19:19">
      <c r="S4923" s="109"/>
    </row>
    <row r="4924" spans="19:19">
      <c r="S4924" s="109"/>
    </row>
    <row r="4925" spans="19:19">
      <c r="S4925" s="109"/>
    </row>
    <row r="4926" spans="19:19">
      <c r="S4926" s="109"/>
    </row>
    <row r="4927" spans="19:19">
      <c r="S4927" s="109"/>
    </row>
    <row r="4928" spans="19:19">
      <c r="S4928" s="109"/>
    </row>
    <row r="4929" spans="19:19">
      <c r="S4929" s="109"/>
    </row>
    <row r="4930" spans="19:19">
      <c r="S4930" s="109"/>
    </row>
    <row r="4931" spans="19:19">
      <c r="S4931" s="109"/>
    </row>
    <row r="4932" spans="19:19">
      <c r="S4932" s="109"/>
    </row>
    <row r="4933" spans="19:19">
      <c r="S4933" s="109"/>
    </row>
    <row r="4934" spans="19:19">
      <c r="S4934" s="109"/>
    </row>
    <row r="4935" spans="19:19">
      <c r="S4935" s="109"/>
    </row>
    <row r="4936" spans="19:19">
      <c r="S4936" s="109"/>
    </row>
    <row r="4937" spans="19:19">
      <c r="S4937" s="109"/>
    </row>
    <row r="4938" spans="19:19">
      <c r="S4938" s="109"/>
    </row>
    <row r="4939" spans="19:19">
      <c r="S4939" s="109"/>
    </row>
    <row r="4940" spans="19:19">
      <c r="S4940" s="109"/>
    </row>
    <row r="4941" spans="19:19">
      <c r="S4941" s="109"/>
    </row>
    <row r="4942" spans="19:19">
      <c r="S4942" s="109"/>
    </row>
    <row r="4943" spans="19:19">
      <c r="S4943" s="109"/>
    </row>
    <row r="4944" spans="19:19">
      <c r="S4944" s="109"/>
    </row>
    <row r="4945" spans="19:19">
      <c r="S4945" s="109"/>
    </row>
    <row r="4946" spans="19:19">
      <c r="S4946" s="109"/>
    </row>
    <row r="4947" spans="19:19">
      <c r="S4947" s="109"/>
    </row>
    <row r="4948" spans="19:19">
      <c r="S4948" s="109"/>
    </row>
    <row r="4949" spans="19:19">
      <c r="S4949" s="109"/>
    </row>
    <row r="4950" spans="19:19">
      <c r="S4950" s="109"/>
    </row>
    <row r="4951" spans="19:19">
      <c r="S4951" s="109"/>
    </row>
    <row r="4952" spans="19:19">
      <c r="S4952" s="109"/>
    </row>
    <row r="4953" spans="19:19">
      <c r="S4953" s="109"/>
    </row>
    <row r="4954" spans="19:19">
      <c r="S4954" s="109"/>
    </row>
    <row r="4955" spans="19:19">
      <c r="S4955" s="109"/>
    </row>
    <row r="4956" spans="19:19">
      <c r="S4956" s="109"/>
    </row>
    <row r="4957" spans="19:19">
      <c r="S4957" s="109"/>
    </row>
    <row r="4958" spans="19:19">
      <c r="S4958" s="109"/>
    </row>
    <row r="4959" spans="19:19">
      <c r="S4959" s="109"/>
    </row>
    <row r="4960" spans="19:19">
      <c r="S4960" s="109"/>
    </row>
    <row r="4961" spans="19:19">
      <c r="S4961" s="109"/>
    </row>
    <row r="4962" spans="19:19">
      <c r="S4962" s="109"/>
    </row>
    <row r="4963" spans="19:19">
      <c r="S4963" s="109"/>
    </row>
    <row r="4964" spans="19:19">
      <c r="S4964" s="109"/>
    </row>
    <row r="4965" spans="19:19">
      <c r="S4965" s="109"/>
    </row>
    <row r="4966" spans="19:19">
      <c r="S4966" s="109"/>
    </row>
    <row r="4967" spans="19:19">
      <c r="S4967" s="109"/>
    </row>
    <row r="4968" spans="19:19">
      <c r="S4968" s="109"/>
    </row>
    <row r="4969" spans="19:19">
      <c r="S4969" s="109"/>
    </row>
    <row r="4970" spans="19:19">
      <c r="S4970" s="109"/>
    </row>
    <row r="4971" spans="19:19">
      <c r="S4971" s="109"/>
    </row>
    <row r="4972" spans="19:19">
      <c r="S4972" s="109"/>
    </row>
    <row r="4973" spans="19:19">
      <c r="S4973" s="109"/>
    </row>
    <row r="4974" spans="19:19">
      <c r="S4974" s="109"/>
    </row>
    <row r="4975" spans="19:19">
      <c r="S4975" s="109"/>
    </row>
    <row r="4976" spans="19:19">
      <c r="S4976" s="109"/>
    </row>
    <row r="4977" spans="19:19">
      <c r="S4977" s="109"/>
    </row>
    <row r="4978" spans="19:19">
      <c r="S4978" s="109"/>
    </row>
    <row r="4979" spans="19:19">
      <c r="S4979" s="109"/>
    </row>
    <row r="4980" spans="19:19">
      <c r="S4980" s="109"/>
    </row>
    <row r="4981" spans="19:19">
      <c r="S4981" s="109"/>
    </row>
    <row r="4982" spans="19:19">
      <c r="S4982" s="109"/>
    </row>
    <row r="4983" spans="19:19">
      <c r="S4983" s="109"/>
    </row>
    <row r="4984" spans="19:19">
      <c r="S4984" s="109"/>
    </row>
    <row r="4985" spans="19:19">
      <c r="S4985" s="109"/>
    </row>
    <row r="4986" spans="19:19">
      <c r="S4986" s="109"/>
    </row>
    <row r="4987" spans="19:19">
      <c r="S4987" s="109"/>
    </row>
    <row r="4988" spans="19:19">
      <c r="S4988" s="109"/>
    </row>
    <row r="4989" spans="19:19">
      <c r="S4989" s="109"/>
    </row>
    <row r="4990" spans="19:19">
      <c r="S4990" s="109"/>
    </row>
    <row r="4991" spans="19:19">
      <c r="S4991" s="109"/>
    </row>
    <row r="4992" spans="19:19">
      <c r="S4992" s="109"/>
    </row>
    <row r="4993" spans="19:19">
      <c r="S4993" s="109"/>
    </row>
    <row r="4994" spans="19:19">
      <c r="S4994" s="109"/>
    </row>
    <row r="4995" spans="19:19">
      <c r="S4995" s="109"/>
    </row>
    <row r="4996" spans="19:19">
      <c r="S4996" s="109"/>
    </row>
    <row r="4997" spans="19:19">
      <c r="S4997" s="109"/>
    </row>
    <row r="4998" spans="19:19">
      <c r="S4998" s="109"/>
    </row>
    <row r="4999" spans="19:19">
      <c r="S4999" s="109"/>
    </row>
    <row r="5000" spans="19:19">
      <c r="S5000" s="109"/>
    </row>
    <row r="5001" spans="19:19">
      <c r="S5001" s="109"/>
    </row>
    <row r="5002" spans="19:19">
      <c r="S5002" s="109"/>
    </row>
    <row r="5003" spans="19:19">
      <c r="S5003" s="109"/>
    </row>
    <row r="5004" spans="19:19">
      <c r="S5004" s="109"/>
    </row>
    <row r="5005" spans="19:19">
      <c r="S5005" s="109"/>
    </row>
    <row r="5006" spans="19:19">
      <c r="S5006" s="109"/>
    </row>
    <row r="5007" spans="19:19">
      <c r="S5007" s="109"/>
    </row>
    <row r="5008" spans="19:19">
      <c r="S5008" s="109"/>
    </row>
    <row r="5009" spans="19:19">
      <c r="S5009" s="109"/>
    </row>
    <row r="5010" spans="19:19">
      <c r="S5010" s="109"/>
    </row>
    <row r="5011" spans="19:19">
      <c r="S5011" s="109"/>
    </row>
    <row r="5012" spans="19:19">
      <c r="S5012" s="109"/>
    </row>
    <row r="5013" spans="19:19">
      <c r="S5013" s="109"/>
    </row>
    <row r="5014" spans="19:19">
      <c r="S5014" s="109"/>
    </row>
    <row r="5015" spans="19:19">
      <c r="S5015" s="109"/>
    </row>
    <row r="5016" spans="19:19">
      <c r="S5016" s="109"/>
    </row>
    <row r="5017" spans="19:19">
      <c r="S5017" s="109"/>
    </row>
    <row r="5018" spans="19:19">
      <c r="S5018" s="109"/>
    </row>
    <row r="5019" spans="19:19">
      <c r="S5019" s="109"/>
    </row>
    <row r="5020" spans="19:19">
      <c r="S5020" s="109"/>
    </row>
    <row r="5021" spans="19:19">
      <c r="S5021" s="109"/>
    </row>
    <row r="5022" spans="19:19">
      <c r="S5022" s="109"/>
    </row>
    <row r="5023" spans="19:19">
      <c r="S5023" s="109"/>
    </row>
    <row r="5024" spans="19:19">
      <c r="S5024" s="109"/>
    </row>
    <row r="5025" spans="19:19">
      <c r="S5025" s="109"/>
    </row>
    <row r="5026" spans="19:19">
      <c r="S5026" s="109"/>
    </row>
    <row r="5027" spans="19:19">
      <c r="S5027" s="109"/>
    </row>
    <row r="5028" spans="19:19">
      <c r="S5028" s="109"/>
    </row>
    <row r="5029" spans="19:19">
      <c r="S5029" s="109"/>
    </row>
    <row r="5030" spans="19:19">
      <c r="S5030" s="109"/>
    </row>
    <row r="5031" spans="19:19">
      <c r="S5031" s="109"/>
    </row>
    <row r="5032" spans="19:19">
      <c r="S5032" s="109"/>
    </row>
    <row r="5033" spans="19:19">
      <c r="S5033" s="109"/>
    </row>
    <row r="5034" spans="19:19">
      <c r="S5034" s="109"/>
    </row>
    <row r="5035" spans="19:19">
      <c r="S5035" s="109"/>
    </row>
    <row r="5036" spans="19:19">
      <c r="S5036" s="109"/>
    </row>
    <row r="5037" spans="19:19">
      <c r="S5037" s="109"/>
    </row>
    <row r="5038" spans="19:19">
      <c r="S5038" s="109"/>
    </row>
    <row r="5039" spans="19:19">
      <c r="S5039" s="109"/>
    </row>
    <row r="5040" spans="19:19">
      <c r="S5040" s="109"/>
    </row>
    <row r="5041" spans="19:19">
      <c r="S5041" s="109"/>
    </row>
    <row r="5042" spans="19:19">
      <c r="S5042" s="109"/>
    </row>
    <row r="5043" spans="19:19">
      <c r="S5043" s="109"/>
    </row>
    <row r="5044" spans="19:19">
      <c r="S5044" s="109"/>
    </row>
    <row r="5045" spans="19:19">
      <c r="S5045" s="109"/>
    </row>
    <row r="5046" spans="19:19">
      <c r="S5046" s="109"/>
    </row>
    <row r="5047" spans="19:19">
      <c r="S5047" s="109"/>
    </row>
    <row r="5048" spans="19:19">
      <c r="S5048" s="109"/>
    </row>
    <row r="5049" spans="19:19">
      <c r="S5049" s="109"/>
    </row>
    <row r="5050" spans="19:19">
      <c r="S5050" s="109"/>
    </row>
    <row r="5051" spans="19:19">
      <c r="S5051" s="109"/>
    </row>
    <row r="5052" spans="19:19">
      <c r="S5052" s="109"/>
    </row>
    <row r="5053" spans="19:19">
      <c r="S5053" s="109"/>
    </row>
    <row r="5054" spans="19:19">
      <c r="S5054" s="109"/>
    </row>
    <row r="5055" spans="19:19">
      <c r="S5055" s="109"/>
    </row>
    <row r="5056" spans="19:19">
      <c r="S5056" s="109"/>
    </row>
    <row r="5057" spans="19:19">
      <c r="S5057" s="109"/>
    </row>
    <row r="5058" spans="19:19">
      <c r="S5058" s="109"/>
    </row>
    <row r="5059" spans="19:19">
      <c r="S5059" s="109"/>
    </row>
    <row r="5060" spans="19:19">
      <c r="S5060" s="109"/>
    </row>
    <row r="5061" spans="19:19">
      <c r="S5061" s="109"/>
    </row>
    <row r="5062" spans="19:19">
      <c r="S5062" s="109"/>
    </row>
    <row r="5063" spans="19:19">
      <c r="S5063" s="109"/>
    </row>
    <row r="5064" spans="19:19">
      <c r="S5064" s="109"/>
    </row>
    <row r="5065" spans="19:19">
      <c r="S5065" s="109"/>
    </row>
    <row r="5066" spans="19:19">
      <c r="S5066" s="109"/>
    </row>
    <row r="5067" spans="19:19">
      <c r="S5067" s="109"/>
    </row>
    <row r="5068" spans="19:19">
      <c r="S5068" s="109"/>
    </row>
    <row r="5069" spans="19:19">
      <c r="S5069" s="109"/>
    </row>
    <row r="5070" spans="19:19">
      <c r="S5070" s="109"/>
    </row>
    <row r="5071" spans="19:19">
      <c r="S5071" s="109"/>
    </row>
    <row r="5072" spans="19:19">
      <c r="S5072" s="109"/>
    </row>
    <row r="5073" spans="19:19">
      <c r="S5073" s="109"/>
    </row>
    <row r="5074" spans="19:19">
      <c r="S5074" s="109"/>
    </row>
    <row r="5075" spans="19:19">
      <c r="S5075" s="109"/>
    </row>
    <row r="5076" spans="19:19">
      <c r="S5076" s="109"/>
    </row>
    <row r="5077" spans="19:19">
      <c r="S5077" s="109"/>
    </row>
    <row r="5078" spans="19:19">
      <c r="S5078" s="109"/>
    </row>
    <row r="5079" spans="19:19">
      <c r="S5079" s="109"/>
    </row>
    <row r="5080" spans="19:19">
      <c r="S5080" s="109"/>
    </row>
    <row r="5081" spans="19:19">
      <c r="S5081" s="109"/>
    </row>
    <row r="5082" spans="19:19">
      <c r="S5082" s="109"/>
    </row>
    <row r="5083" spans="19:19">
      <c r="S5083" s="109"/>
    </row>
    <row r="5084" spans="19:19">
      <c r="S5084" s="109"/>
    </row>
    <row r="5085" spans="19:19">
      <c r="S5085" s="109"/>
    </row>
    <row r="5086" spans="19:19">
      <c r="S5086" s="109"/>
    </row>
    <row r="5087" spans="19:19">
      <c r="S5087" s="109"/>
    </row>
    <row r="5088" spans="19:19">
      <c r="S5088" s="109"/>
    </row>
    <row r="5089" spans="19:19">
      <c r="S5089" s="109"/>
    </row>
    <row r="5090" spans="19:19">
      <c r="S5090" s="109"/>
    </row>
    <row r="5091" spans="19:19">
      <c r="S5091" s="109"/>
    </row>
    <row r="5092" spans="19:19">
      <c r="S5092" s="109"/>
    </row>
    <row r="5093" spans="19:19">
      <c r="S5093" s="109"/>
    </row>
    <row r="5094" spans="19:19">
      <c r="S5094" s="109"/>
    </row>
    <row r="5095" spans="19:19">
      <c r="S5095" s="109"/>
    </row>
    <row r="5096" spans="19:19">
      <c r="S5096" s="109"/>
    </row>
    <row r="5097" spans="19:19">
      <c r="S5097" s="109"/>
    </row>
    <row r="5098" spans="19:19">
      <c r="S5098" s="109"/>
    </row>
    <row r="5099" spans="19:19">
      <c r="S5099" s="109"/>
    </row>
    <row r="5100" spans="19:19">
      <c r="S5100" s="109"/>
    </row>
    <row r="5101" spans="19:19">
      <c r="S5101" s="109"/>
    </row>
    <row r="5102" spans="19:19">
      <c r="S5102" s="109"/>
    </row>
    <row r="5103" spans="19:19">
      <c r="S5103" s="109"/>
    </row>
    <row r="5104" spans="19:19">
      <c r="S5104" s="109"/>
    </row>
    <row r="5105" spans="19:19">
      <c r="S5105" s="109"/>
    </row>
    <row r="5106" spans="19:19">
      <c r="S5106" s="109"/>
    </row>
    <row r="5107" spans="19:19">
      <c r="S5107" s="109"/>
    </row>
    <row r="5108" spans="19:19">
      <c r="S5108" s="109"/>
    </row>
    <row r="5109" spans="19:19">
      <c r="S5109" s="109"/>
    </row>
    <row r="5110" spans="19:19">
      <c r="S5110" s="109"/>
    </row>
    <row r="5111" spans="19:19">
      <c r="S5111" s="109"/>
    </row>
    <row r="5112" spans="19:19">
      <c r="S5112" s="109"/>
    </row>
    <row r="5113" spans="19:19">
      <c r="S5113" s="109"/>
    </row>
    <row r="5114" spans="19:19">
      <c r="S5114" s="109"/>
    </row>
    <row r="5115" spans="19:19">
      <c r="S5115" s="109"/>
    </row>
    <row r="5116" spans="19:19">
      <c r="S5116" s="109"/>
    </row>
    <row r="5117" spans="19:19">
      <c r="S5117" s="109"/>
    </row>
    <row r="5118" spans="19:19">
      <c r="S5118" s="109"/>
    </row>
    <row r="5119" spans="19:19">
      <c r="S5119" s="109"/>
    </row>
    <row r="5120" spans="19:19">
      <c r="S5120" s="109"/>
    </row>
    <row r="5121" spans="19:19">
      <c r="S5121" s="109"/>
    </row>
    <row r="5122" spans="19:19">
      <c r="S5122" s="109"/>
    </row>
    <row r="5123" spans="19:19">
      <c r="S5123" s="109"/>
    </row>
    <row r="5124" spans="19:19">
      <c r="S5124" s="109"/>
    </row>
    <row r="5125" spans="19:19">
      <c r="S5125" s="109"/>
    </row>
    <row r="5126" spans="19:19">
      <c r="S5126" s="109"/>
    </row>
    <row r="5127" spans="19:19">
      <c r="S5127" s="109"/>
    </row>
    <row r="5128" spans="19:19">
      <c r="S5128" s="109"/>
    </row>
    <row r="5129" spans="19:19">
      <c r="S5129" s="109"/>
    </row>
    <row r="5130" spans="19:19">
      <c r="S5130" s="109"/>
    </row>
    <row r="5131" spans="19:19">
      <c r="S5131" s="109"/>
    </row>
    <row r="5132" spans="19:19">
      <c r="S5132" s="109"/>
    </row>
    <row r="5133" spans="19:19">
      <c r="S5133" s="109"/>
    </row>
    <row r="5134" spans="19:19">
      <c r="S5134" s="109"/>
    </row>
    <row r="5135" spans="19:19">
      <c r="S5135" s="109"/>
    </row>
    <row r="5136" spans="19:19">
      <c r="S5136" s="109"/>
    </row>
    <row r="5137" spans="19:19">
      <c r="S5137" s="109"/>
    </row>
    <row r="5138" spans="19:19">
      <c r="S5138" s="109"/>
    </row>
    <row r="5139" spans="19:19">
      <c r="S5139" s="109"/>
    </row>
    <row r="5140" spans="19:19">
      <c r="S5140" s="109"/>
    </row>
    <row r="5141" spans="19:19">
      <c r="S5141" s="109"/>
    </row>
    <row r="5142" spans="19:19">
      <c r="S5142" s="109"/>
    </row>
    <row r="5143" spans="19:19">
      <c r="S5143" s="109"/>
    </row>
    <row r="5144" spans="19:19">
      <c r="S5144" s="109"/>
    </row>
    <row r="5145" spans="19:19">
      <c r="S5145" s="109"/>
    </row>
    <row r="5146" spans="19:19">
      <c r="S5146" s="109"/>
    </row>
    <row r="5147" spans="19:19">
      <c r="S5147" s="109"/>
    </row>
    <row r="5148" spans="19:19">
      <c r="S5148" s="109"/>
    </row>
    <row r="5149" spans="19:19">
      <c r="S5149" s="109"/>
    </row>
    <row r="5150" spans="19:19">
      <c r="S5150" s="109"/>
    </row>
    <row r="5151" spans="19:19">
      <c r="S5151" s="109"/>
    </row>
    <row r="5152" spans="19:19">
      <c r="S5152" s="109"/>
    </row>
    <row r="5153" spans="19:19">
      <c r="S5153" s="109"/>
    </row>
    <row r="5154" spans="19:19">
      <c r="S5154" s="109"/>
    </row>
    <row r="5155" spans="19:19">
      <c r="S5155" s="109"/>
    </row>
    <row r="5156" spans="19:19">
      <c r="S5156" s="109"/>
    </row>
    <row r="5157" spans="19:19">
      <c r="S5157" s="109"/>
    </row>
    <row r="5158" spans="19:19">
      <c r="S5158" s="109"/>
    </row>
    <row r="5159" spans="19:19">
      <c r="S5159" s="109"/>
    </row>
    <row r="5160" spans="19:19">
      <c r="S5160" s="109"/>
    </row>
    <row r="5161" spans="19:19">
      <c r="S5161" s="109"/>
    </row>
    <row r="5162" spans="19:19">
      <c r="S5162" s="109"/>
    </row>
    <row r="5163" spans="19:19">
      <c r="S5163" s="109"/>
    </row>
    <row r="5164" spans="19:19">
      <c r="S5164" s="109"/>
    </row>
    <row r="5165" spans="19:19">
      <c r="S5165" s="109"/>
    </row>
    <row r="5166" spans="19:19">
      <c r="S5166" s="109"/>
    </row>
    <row r="5167" spans="19:19">
      <c r="S5167" s="109"/>
    </row>
    <row r="5168" spans="19:19">
      <c r="S5168" s="109"/>
    </row>
    <row r="5169" spans="19:19">
      <c r="S5169" s="109"/>
    </row>
    <row r="5170" spans="19:19">
      <c r="S5170" s="109"/>
    </row>
    <row r="5171" spans="19:19">
      <c r="S5171" s="109"/>
    </row>
    <row r="5172" spans="19:19">
      <c r="S5172" s="109"/>
    </row>
    <row r="5173" spans="19:19">
      <c r="S5173" s="109"/>
    </row>
    <row r="5174" spans="19:19">
      <c r="S5174" s="109"/>
    </row>
    <row r="5175" spans="19:19">
      <c r="S5175" s="109"/>
    </row>
    <row r="5176" spans="19:19">
      <c r="S5176" s="109"/>
    </row>
    <row r="5177" spans="19:19">
      <c r="S5177" s="109"/>
    </row>
    <row r="5178" spans="19:19">
      <c r="S5178" s="109"/>
    </row>
    <row r="5179" spans="19:19">
      <c r="S5179" s="109"/>
    </row>
    <row r="5180" spans="19:19">
      <c r="S5180" s="109"/>
    </row>
    <row r="5181" spans="19:19">
      <c r="S5181" s="109"/>
    </row>
    <row r="5182" spans="19:19">
      <c r="S5182" s="109"/>
    </row>
    <row r="5183" spans="19:19">
      <c r="S5183" s="109"/>
    </row>
    <row r="5184" spans="19:19">
      <c r="S5184" s="109"/>
    </row>
    <row r="5185" spans="19:19">
      <c r="S5185" s="109"/>
    </row>
    <row r="5186" spans="19:19">
      <c r="S5186" s="109"/>
    </row>
    <row r="5187" spans="19:19">
      <c r="S5187" s="109"/>
    </row>
    <row r="5188" spans="19:19">
      <c r="S5188" s="109"/>
    </row>
    <row r="5189" spans="19:19">
      <c r="S5189" s="109"/>
    </row>
    <row r="5190" spans="19:19">
      <c r="S5190" s="109"/>
    </row>
    <row r="5191" spans="19:19">
      <c r="S5191" s="109"/>
    </row>
    <row r="5192" spans="19:19">
      <c r="S5192" s="109"/>
    </row>
    <row r="5193" spans="19:19">
      <c r="S5193" s="109"/>
    </row>
    <row r="5194" spans="19:19">
      <c r="S5194" s="109"/>
    </row>
    <row r="5195" spans="19:19">
      <c r="S5195" s="109"/>
    </row>
    <row r="5196" spans="19:19">
      <c r="S5196" s="109"/>
    </row>
    <row r="5197" spans="19:19">
      <c r="S5197" s="109"/>
    </row>
    <row r="5198" spans="19:19">
      <c r="S5198" s="109"/>
    </row>
    <row r="5199" spans="19:19">
      <c r="S5199" s="109"/>
    </row>
    <row r="5200" spans="19:19">
      <c r="S5200" s="109"/>
    </row>
    <row r="5201" spans="19:19">
      <c r="S5201" s="109"/>
    </row>
    <row r="5202" spans="19:19">
      <c r="S5202" s="109"/>
    </row>
    <row r="5203" spans="19:19">
      <c r="S5203" s="109"/>
    </row>
    <row r="5204" spans="19:19">
      <c r="S5204" s="109"/>
    </row>
    <row r="5205" spans="19:19">
      <c r="S5205" s="109"/>
    </row>
    <row r="5206" spans="19:19">
      <c r="S5206" s="109"/>
    </row>
    <row r="5207" spans="19:19">
      <c r="S5207" s="109"/>
    </row>
    <row r="5208" spans="19:19">
      <c r="S5208" s="109"/>
    </row>
    <row r="5209" spans="19:19">
      <c r="S5209" s="109"/>
    </row>
    <row r="5210" spans="19:19">
      <c r="S5210" s="109"/>
    </row>
    <row r="5211" spans="19:19">
      <c r="S5211" s="109"/>
    </row>
    <row r="5212" spans="19:19">
      <c r="S5212" s="109"/>
    </row>
    <row r="5213" spans="19:19">
      <c r="S5213" s="109"/>
    </row>
    <row r="5214" spans="19:19">
      <c r="S5214" s="109"/>
    </row>
    <row r="5215" spans="19:19">
      <c r="S5215" s="109"/>
    </row>
    <row r="5216" spans="19:19">
      <c r="S5216" s="109"/>
    </row>
    <row r="5217" spans="19:19">
      <c r="S5217" s="109"/>
    </row>
    <row r="5218" spans="19:19">
      <c r="S5218" s="109"/>
    </row>
    <row r="5219" spans="19:19">
      <c r="S5219" s="109"/>
    </row>
    <row r="5220" spans="19:19">
      <c r="S5220" s="109"/>
    </row>
    <row r="5221" spans="19:19">
      <c r="S5221" s="109"/>
    </row>
    <row r="5222" spans="19:19">
      <c r="S5222" s="109"/>
    </row>
    <row r="5223" spans="19:19">
      <c r="S5223" s="109"/>
    </row>
    <row r="5224" spans="19:19">
      <c r="S5224" s="109"/>
    </row>
    <row r="5225" spans="19:19">
      <c r="S5225" s="109"/>
    </row>
    <row r="5226" spans="19:19">
      <c r="S5226" s="109"/>
    </row>
    <row r="5227" spans="19:19">
      <c r="S5227" s="109"/>
    </row>
    <row r="5228" spans="19:19">
      <c r="S5228" s="109"/>
    </row>
    <row r="5229" spans="19:19">
      <c r="S5229" s="109"/>
    </row>
    <row r="5230" spans="19:19">
      <c r="S5230" s="109"/>
    </row>
    <row r="5231" spans="19:19">
      <c r="S5231" s="109"/>
    </row>
    <row r="5232" spans="19:19">
      <c r="S5232" s="109"/>
    </row>
    <row r="5233" spans="19:19">
      <c r="S5233" s="109"/>
    </row>
    <row r="5234" spans="19:19">
      <c r="S5234" s="109"/>
    </row>
    <row r="5235" spans="19:19">
      <c r="S5235" s="109"/>
    </row>
    <row r="5236" spans="19:19">
      <c r="S5236" s="109"/>
    </row>
    <row r="5237" spans="19:19">
      <c r="S5237" s="109"/>
    </row>
    <row r="5238" spans="19:19">
      <c r="S5238" s="109"/>
    </row>
    <row r="5239" spans="19:19">
      <c r="S5239" s="109"/>
    </row>
    <row r="5240" spans="19:19">
      <c r="S5240" s="109"/>
    </row>
    <row r="5241" spans="19:19">
      <c r="S5241" s="109"/>
    </row>
    <row r="5242" spans="19:19">
      <c r="S5242" s="109"/>
    </row>
    <row r="5243" spans="19:19">
      <c r="S5243" s="109"/>
    </row>
    <row r="5244" spans="19:19">
      <c r="S5244" s="109"/>
    </row>
    <row r="5245" spans="19:19">
      <c r="S5245" s="109"/>
    </row>
    <row r="5246" spans="19:19">
      <c r="S5246" s="109"/>
    </row>
    <row r="5247" spans="19:19">
      <c r="S5247" s="109"/>
    </row>
    <row r="5248" spans="19:19">
      <c r="S5248" s="109"/>
    </row>
    <row r="5249" spans="19:19">
      <c r="S5249" s="109"/>
    </row>
    <row r="5250" spans="19:19">
      <c r="S5250" s="109"/>
    </row>
    <row r="5251" spans="19:19">
      <c r="S5251" s="109"/>
    </row>
    <row r="5252" spans="19:19">
      <c r="S5252" s="109"/>
    </row>
    <row r="5253" spans="19:19">
      <c r="S5253" s="109"/>
    </row>
    <row r="5254" spans="19:19">
      <c r="S5254" s="109"/>
    </row>
    <row r="5255" spans="19:19">
      <c r="S5255" s="109"/>
    </row>
    <row r="5256" spans="19:19">
      <c r="S5256" s="109"/>
    </row>
    <row r="5257" spans="19:19">
      <c r="S5257" s="109"/>
    </row>
    <row r="5258" spans="19:19">
      <c r="S5258" s="109"/>
    </row>
    <row r="5259" spans="19:19">
      <c r="S5259" s="109"/>
    </row>
    <row r="5260" spans="19:19">
      <c r="S5260" s="109"/>
    </row>
    <row r="5261" spans="19:19">
      <c r="S5261" s="109"/>
    </row>
    <row r="5262" spans="19:19">
      <c r="S5262" s="109"/>
    </row>
    <row r="5263" spans="19:19">
      <c r="S5263" s="109"/>
    </row>
    <row r="5264" spans="19:19">
      <c r="S5264" s="109"/>
    </row>
    <row r="5265" spans="19:19">
      <c r="S5265" s="109"/>
    </row>
    <row r="5266" spans="19:19">
      <c r="S5266" s="109"/>
    </row>
    <row r="5267" spans="19:19">
      <c r="S5267" s="109"/>
    </row>
    <row r="5268" spans="19:19">
      <c r="S5268" s="109"/>
    </row>
    <row r="5269" spans="19:19">
      <c r="S5269" s="109"/>
    </row>
    <row r="5270" spans="19:19">
      <c r="S5270" s="109"/>
    </row>
    <row r="5271" spans="19:19">
      <c r="S5271" s="109"/>
    </row>
    <row r="5272" spans="19:19">
      <c r="S5272" s="109"/>
    </row>
    <row r="5273" spans="19:19">
      <c r="S5273" s="109"/>
    </row>
    <row r="5274" spans="19:19">
      <c r="S5274" s="109"/>
    </row>
    <row r="5275" spans="19:19">
      <c r="S5275" s="109"/>
    </row>
    <row r="5276" spans="19:19">
      <c r="S5276" s="109"/>
    </row>
    <row r="5277" spans="19:19">
      <c r="S5277" s="109"/>
    </row>
    <row r="5278" spans="19:19">
      <c r="S5278" s="109"/>
    </row>
    <row r="5279" spans="19:19">
      <c r="S5279" s="109"/>
    </row>
    <row r="5280" spans="19:19">
      <c r="S5280" s="109"/>
    </row>
    <row r="5281" spans="19:19">
      <c r="S5281" s="109"/>
    </row>
    <row r="5282" spans="19:19">
      <c r="S5282" s="109"/>
    </row>
    <row r="5283" spans="19:19">
      <c r="S5283" s="109"/>
    </row>
    <row r="5284" spans="19:19">
      <c r="S5284" s="109"/>
    </row>
    <row r="5285" spans="19:19">
      <c r="S5285" s="109"/>
    </row>
    <row r="5286" spans="19:19">
      <c r="S5286" s="109"/>
    </row>
    <row r="5287" spans="19:19">
      <c r="S5287" s="109"/>
    </row>
    <row r="5288" spans="19:19">
      <c r="S5288" s="109"/>
    </row>
    <row r="5289" spans="19:19">
      <c r="S5289" s="109"/>
    </row>
    <row r="5290" spans="19:19">
      <c r="S5290" s="109"/>
    </row>
    <row r="5291" spans="19:19">
      <c r="S5291" s="109"/>
    </row>
    <row r="5292" spans="19:19">
      <c r="S5292" s="109"/>
    </row>
    <row r="5293" spans="19:19">
      <c r="S5293" s="109"/>
    </row>
    <row r="5294" spans="19:19">
      <c r="S5294" s="109"/>
    </row>
    <row r="5295" spans="19:19">
      <c r="S5295" s="109"/>
    </row>
    <row r="5296" spans="19:19">
      <c r="S5296" s="109"/>
    </row>
    <row r="5297" spans="19:19">
      <c r="S5297" s="109"/>
    </row>
    <row r="5298" spans="19:19">
      <c r="S5298" s="109"/>
    </row>
    <row r="5299" spans="19:19">
      <c r="S5299" s="109"/>
    </row>
    <row r="5300" spans="19:19">
      <c r="S5300" s="109"/>
    </row>
    <row r="5301" spans="19:19">
      <c r="S5301" s="109"/>
    </row>
    <row r="5302" spans="19:19">
      <c r="S5302" s="109"/>
    </row>
    <row r="5303" spans="19:19">
      <c r="S5303" s="109"/>
    </row>
    <row r="5304" spans="19:19">
      <c r="S5304" s="109"/>
    </row>
    <row r="5305" spans="19:19">
      <c r="S5305" s="109"/>
    </row>
    <row r="5306" spans="19:19">
      <c r="S5306" s="109"/>
    </row>
    <row r="5307" spans="19:19">
      <c r="S5307" s="109"/>
    </row>
    <row r="5308" spans="19:19">
      <c r="S5308" s="109"/>
    </row>
    <row r="5309" spans="19:19">
      <c r="S5309" s="109"/>
    </row>
    <row r="5310" spans="19:19">
      <c r="S5310" s="109"/>
    </row>
    <row r="5311" spans="19:19">
      <c r="S5311" s="109"/>
    </row>
    <row r="5312" spans="19:19">
      <c r="S5312" s="109"/>
    </row>
    <row r="5313" spans="19:19">
      <c r="S5313" s="109"/>
    </row>
    <row r="5314" spans="19:19">
      <c r="S5314" s="109"/>
    </row>
    <row r="5315" spans="19:19">
      <c r="S5315" s="109"/>
    </row>
    <row r="5316" spans="19:19">
      <c r="S5316" s="109"/>
    </row>
    <row r="5317" spans="19:19">
      <c r="S5317" s="109"/>
    </row>
    <row r="5318" spans="19:19">
      <c r="S5318" s="109"/>
    </row>
    <row r="5319" spans="19:19">
      <c r="S5319" s="109"/>
    </row>
    <row r="5320" spans="19:19">
      <c r="S5320" s="109"/>
    </row>
    <row r="5321" spans="19:19">
      <c r="S5321" s="109"/>
    </row>
    <row r="5322" spans="19:19">
      <c r="S5322" s="109"/>
    </row>
    <row r="5323" spans="19:19">
      <c r="S5323" s="109"/>
    </row>
    <row r="5324" spans="19:19">
      <c r="S5324" s="109"/>
    </row>
    <row r="5325" spans="19:19">
      <c r="S5325" s="109"/>
    </row>
    <row r="5326" spans="19:19">
      <c r="S5326" s="109"/>
    </row>
    <row r="5327" spans="19:19">
      <c r="S5327" s="109"/>
    </row>
    <row r="5328" spans="19:19">
      <c r="S5328" s="109"/>
    </row>
    <row r="5329" spans="19:19">
      <c r="S5329" s="109"/>
    </row>
    <row r="5330" spans="19:19">
      <c r="S5330" s="109"/>
    </row>
    <row r="5331" spans="19:19">
      <c r="S5331" s="109"/>
    </row>
    <row r="5332" spans="19:19">
      <c r="S5332" s="109"/>
    </row>
    <row r="5333" spans="19:19">
      <c r="S5333" s="109"/>
    </row>
    <row r="5334" spans="19:19">
      <c r="S5334" s="109"/>
    </row>
    <row r="5335" spans="19:19">
      <c r="S5335" s="109"/>
    </row>
    <row r="5336" spans="19:19">
      <c r="S5336" s="109"/>
    </row>
    <row r="5337" spans="19:19">
      <c r="S5337" s="109"/>
    </row>
    <row r="5338" spans="19:19">
      <c r="S5338" s="109"/>
    </row>
    <row r="5339" spans="19:19">
      <c r="S5339" s="109"/>
    </row>
    <row r="5340" spans="19:19">
      <c r="S5340" s="109"/>
    </row>
    <row r="5341" spans="19:19">
      <c r="S5341" s="109"/>
    </row>
    <row r="5342" spans="19:19">
      <c r="S5342" s="109"/>
    </row>
    <row r="5343" spans="19:19">
      <c r="S5343" s="109"/>
    </row>
    <row r="5344" spans="19:19">
      <c r="S5344" s="109"/>
    </row>
    <row r="5345" spans="19:19">
      <c r="S5345" s="109"/>
    </row>
    <row r="5346" spans="19:19">
      <c r="S5346" s="109"/>
    </row>
    <row r="5347" spans="19:19">
      <c r="S5347" s="109"/>
    </row>
    <row r="5348" spans="19:19">
      <c r="S5348" s="109"/>
    </row>
    <row r="5349" spans="19:19">
      <c r="S5349" s="109"/>
    </row>
    <row r="5350" spans="19:19">
      <c r="S5350" s="109"/>
    </row>
    <row r="5351" spans="19:19">
      <c r="S5351" s="109"/>
    </row>
    <row r="5352" spans="19:19">
      <c r="S5352" s="109"/>
    </row>
    <row r="5353" spans="19:19">
      <c r="S5353" s="109"/>
    </row>
    <row r="5354" spans="19:19">
      <c r="S5354" s="109"/>
    </row>
    <row r="5355" spans="19:19">
      <c r="S5355" s="109"/>
    </row>
    <row r="5356" spans="19:19">
      <c r="S5356" s="109"/>
    </row>
    <row r="5357" spans="19:19">
      <c r="S5357" s="109"/>
    </row>
    <row r="5358" spans="19:19">
      <c r="S5358" s="109"/>
    </row>
    <row r="5359" spans="19:19">
      <c r="S5359" s="109"/>
    </row>
    <row r="5360" spans="19:19">
      <c r="S5360" s="109"/>
    </row>
    <row r="5361" spans="19:19">
      <c r="S5361" s="109"/>
    </row>
    <row r="5362" spans="19:19">
      <c r="S5362" s="109"/>
    </row>
    <row r="5363" spans="19:19">
      <c r="S5363" s="109"/>
    </row>
    <row r="5364" spans="19:19">
      <c r="S5364" s="109"/>
    </row>
    <row r="5365" spans="19:19">
      <c r="S5365" s="109"/>
    </row>
    <row r="5366" spans="19:19">
      <c r="S5366" s="109"/>
    </row>
    <row r="5367" spans="19:19">
      <c r="S5367" s="109"/>
    </row>
    <row r="5368" spans="19:19">
      <c r="S5368" s="109"/>
    </row>
    <row r="5369" spans="19:19">
      <c r="S5369" s="109"/>
    </row>
    <row r="5370" spans="19:19">
      <c r="S5370" s="109"/>
    </row>
    <row r="5371" spans="19:19">
      <c r="S5371" s="109"/>
    </row>
    <row r="5372" spans="19:19">
      <c r="S5372" s="109"/>
    </row>
    <row r="5373" spans="19:19">
      <c r="S5373" s="109"/>
    </row>
    <row r="5374" spans="19:19">
      <c r="S5374" s="109"/>
    </row>
    <row r="5375" spans="19:19">
      <c r="S5375" s="109"/>
    </row>
    <row r="5376" spans="19:19">
      <c r="S5376" s="109"/>
    </row>
    <row r="5377" spans="19:19">
      <c r="S5377" s="109"/>
    </row>
    <row r="5378" spans="19:19">
      <c r="S5378" s="109"/>
    </row>
    <row r="5379" spans="19:19">
      <c r="S5379" s="109"/>
    </row>
    <row r="5380" spans="19:19">
      <c r="S5380" s="109"/>
    </row>
    <row r="5381" spans="19:19">
      <c r="S5381" s="109"/>
    </row>
    <row r="5382" spans="19:19">
      <c r="S5382" s="109"/>
    </row>
    <row r="5383" spans="19:19">
      <c r="S5383" s="109"/>
    </row>
    <row r="5384" spans="19:19">
      <c r="S5384" s="109"/>
    </row>
    <row r="5385" spans="19:19">
      <c r="S5385" s="109"/>
    </row>
    <row r="5386" spans="19:19">
      <c r="S5386" s="109"/>
    </row>
    <row r="5387" spans="19:19">
      <c r="S5387" s="109"/>
    </row>
    <row r="5388" spans="19:19">
      <c r="S5388" s="109"/>
    </row>
    <row r="5389" spans="19:19">
      <c r="S5389" s="109"/>
    </row>
    <row r="5390" spans="19:19">
      <c r="S5390" s="109"/>
    </row>
    <row r="5391" spans="19:19">
      <c r="S5391" s="109"/>
    </row>
    <row r="5392" spans="19:19">
      <c r="S5392" s="109"/>
    </row>
    <row r="5393" spans="19:19">
      <c r="S5393" s="109"/>
    </row>
    <row r="5394" spans="19:19">
      <c r="S5394" s="109"/>
    </row>
    <row r="5395" spans="19:19">
      <c r="S5395" s="109"/>
    </row>
    <row r="5396" spans="19:19">
      <c r="S5396" s="109"/>
    </row>
    <row r="5397" spans="19:19">
      <c r="S5397" s="109"/>
    </row>
    <row r="5398" spans="19:19">
      <c r="S5398" s="109"/>
    </row>
    <row r="5399" spans="19:19">
      <c r="S5399" s="109"/>
    </row>
    <row r="5400" spans="19:19">
      <c r="S5400" s="109"/>
    </row>
    <row r="5401" spans="19:19">
      <c r="S5401" s="109"/>
    </row>
    <row r="5402" spans="19:19">
      <c r="S5402" s="109"/>
    </row>
    <row r="5403" spans="19:19">
      <c r="S5403" s="109"/>
    </row>
    <row r="5404" spans="19:19">
      <c r="S5404" s="109"/>
    </row>
    <row r="5405" spans="19:19">
      <c r="S5405" s="109"/>
    </row>
    <row r="5406" spans="19:19">
      <c r="S5406" s="109"/>
    </row>
    <row r="5407" spans="19:19">
      <c r="S5407" s="109"/>
    </row>
    <row r="5408" spans="19:19">
      <c r="S5408" s="109"/>
    </row>
    <row r="5409" spans="19:19">
      <c r="S5409" s="109"/>
    </row>
    <row r="5410" spans="19:19">
      <c r="S5410" s="109"/>
    </row>
    <row r="5411" spans="19:19">
      <c r="S5411" s="109"/>
    </row>
    <row r="5412" spans="19:19">
      <c r="S5412" s="109"/>
    </row>
    <row r="5413" spans="19:19">
      <c r="S5413" s="109"/>
    </row>
    <row r="5414" spans="19:19">
      <c r="S5414" s="109"/>
    </row>
    <row r="5415" spans="19:19">
      <c r="S5415" s="109"/>
    </row>
    <row r="5416" spans="19:19">
      <c r="S5416" s="109"/>
    </row>
    <row r="5417" spans="19:19">
      <c r="S5417" s="109"/>
    </row>
    <row r="5418" spans="19:19">
      <c r="S5418" s="109"/>
    </row>
    <row r="5419" spans="19:19">
      <c r="S5419" s="109"/>
    </row>
    <row r="5420" spans="19:19">
      <c r="S5420" s="109"/>
    </row>
    <row r="5421" spans="19:19">
      <c r="S5421" s="109"/>
    </row>
    <row r="5422" spans="19:19">
      <c r="S5422" s="109"/>
    </row>
    <row r="5423" spans="19:19">
      <c r="S5423" s="109"/>
    </row>
    <row r="5424" spans="19:19">
      <c r="S5424" s="109"/>
    </row>
    <row r="5425" spans="19:19">
      <c r="S5425" s="109"/>
    </row>
    <row r="5426" spans="19:19">
      <c r="S5426" s="109"/>
    </row>
    <row r="5427" spans="19:19">
      <c r="S5427" s="109"/>
    </row>
    <row r="5428" spans="19:19">
      <c r="S5428" s="109"/>
    </row>
    <row r="5429" spans="19:19">
      <c r="S5429" s="109"/>
    </row>
    <row r="5430" spans="19:19">
      <c r="S5430" s="109"/>
    </row>
    <row r="5431" spans="19:19">
      <c r="S5431" s="109"/>
    </row>
    <row r="5432" spans="19:19">
      <c r="S5432" s="109"/>
    </row>
    <row r="5433" spans="19:19">
      <c r="S5433" s="109"/>
    </row>
    <row r="5434" spans="19:19">
      <c r="S5434" s="109"/>
    </row>
    <row r="5435" spans="19:19">
      <c r="S5435" s="109"/>
    </row>
    <row r="5436" spans="19:19">
      <c r="S5436" s="109"/>
    </row>
    <row r="5437" spans="19:19">
      <c r="S5437" s="109"/>
    </row>
    <row r="5438" spans="19:19">
      <c r="S5438" s="109"/>
    </row>
    <row r="5439" spans="19:19">
      <c r="S5439" s="109"/>
    </row>
    <row r="5440" spans="19:19">
      <c r="S5440" s="109"/>
    </row>
    <row r="5441" spans="19:19">
      <c r="S5441" s="109"/>
    </row>
    <row r="5442" spans="19:19">
      <c r="S5442" s="109"/>
    </row>
    <row r="5443" spans="19:19">
      <c r="S5443" s="109"/>
    </row>
    <row r="5444" spans="19:19">
      <c r="S5444" s="109"/>
    </row>
    <row r="5445" spans="19:19">
      <c r="S5445" s="109"/>
    </row>
    <row r="5446" spans="19:19">
      <c r="S5446" s="109"/>
    </row>
    <row r="5447" spans="19:19">
      <c r="S5447" s="109"/>
    </row>
    <row r="5448" spans="19:19">
      <c r="S5448" s="109"/>
    </row>
    <row r="5449" spans="19:19">
      <c r="S5449" s="109"/>
    </row>
    <row r="5450" spans="19:19">
      <c r="S5450" s="109"/>
    </row>
    <row r="5451" spans="19:19">
      <c r="S5451" s="109"/>
    </row>
    <row r="5452" spans="19:19">
      <c r="S5452" s="109"/>
    </row>
    <row r="5453" spans="19:19">
      <c r="S5453" s="109"/>
    </row>
    <row r="5454" spans="19:19">
      <c r="S5454" s="109"/>
    </row>
    <row r="5455" spans="19:19">
      <c r="S5455" s="109"/>
    </row>
    <row r="5456" spans="19:19">
      <c r="S5456" s="109"/>
    </row>
    <row r="5457" spans="19:19">
      <c r="S5457" s="109"/>
    </row>
    <row r="5458" spans="19:19">
      <c r="S5458" s="109"/>
    </row>
    <row r="5459" spans="19:19">
      <c r="S5459" s="109"/>
    </row>
    <row r="5460" spans="19:19">
      <c r="S5460" s="109"/>
    </row>
    <row r="5461" spans="19:19">
      <c r="S5461" s="109"/>
    </row>
    <row r="5462" spans="19:19">
      <c r="S5462" s="109"/>
    </row>
    <row r="5463" spans="19:19">
      <c r="S5463" s="109"/>
    </row>
    <row r="5464" spans="19:19">
      <c r="S5464" s="109"/>
    </row>
    <row r="5465" spans="19:19">
      <c r="S5465" s="109"/>
    </row>
    <row r="5466" spans="19:19">
      <c r="S5466" s="109"/>
    </row>
    <row r="5467" spans="19:19">
      <c r="S5467" s="109"/>
    </row>
    <row r="5468" spans="19:19">
      <c r="S5468" s="109"/>
    </row>
    <row r="5469" spans="19:19">
      <c r="S5469" s="109"/>
    </row>
    <row r="5470" spans="19:19">
      <c r="S5470" s="109"/>
    </row>
    <row r="5471" spans="19:19">
      <c r="S5471" s="109"/>
    </row>
    <row r="5472" spans="19:19">
      <c r="S5472" s="109"/>
    </row>
    <row r="5473" spans="19:19">
      <c r="S5473" s="109"/>
    </row>
    <row r="5474" spans="19:19">
      <c r="S5474" s="109"/>
    </row>
    <row r="5475" spans="19:19">
      <c r="S5475" s="109"/>
    </row>
    <row r="5476" spans="19:19">
      <c r="S5476" s="109"/>
    </row>
    <row r="5477" spans="19:19">
      <c r="S5477" s="109"/>
    </row>
    <row r="5478" spans="19:19">
      <c r="S5478" s="109"/>
    </row>
    <row r="5479" spans="19:19">
      <c r="S5479" s="109"/>
    </row>
    <row r="5480" spans="19:19">
      <c r="S5480" s="109"/>
    </row>
    <row r="5481" spans="19:19">
      <c r="S5481" s="109"/>
    </row>
    <row r="5482" spans="19:19">
      <c r="S5482" s="109"/>
    </row>
    <row r="5483" spans="19:19">
      <c r="S5483" s="109"/>
    </row>
    <row r="5484" spans="19:19">
      <c r="S5484" s="109"/>
    </row>
    <row r="5485" spans="19:19">
      <c r="S5485" s="109"/>
    </row>
    <row r="5486" spans="19:19">
      <c r="S5486" s="109"/>
    </row>
    <row r="5487" spans="19:19">
      <c r="S5487" s="109"/>
    </row>
    <row r="5488" spans="19:19">
      <c r="S5488" s="109"/>
    </row>
    <row r="5489" spans="19:19">
      <c r="S5489" s="109"/>
    </row>
    <row r="5490" spans="19:19">
      <c r="S5490" s="109"/>
    </row>
    <row r="5491" spans="19:19">
      <c r="S5491" s="109"/>
    </row>
    <row r="5492" spans="19:19">
      <c r="S5492" s="109"/>
    </row>
    <row r="5493" spans="19:19">
      <c r="S5493" s="109"/>
    </row>
    <row r="5494" spans="19:19">
      <c r="S5494" s="109"/>
    </row>
    <row r="5495" spans="19:19">
      <c r="S5495" s="109"/>
    </row>
    <row r="5496" spans="19:19">
      <c r="S5496" s="109"/>
    </row>
    <row r="5497" spans="19:19">
      <c r="S5497" s="109"/>
    </row>
    <row r="5498" spans="19:19">
      <c r="S5498" s="109"/>
    </row>
    <row r="5499" spans="19:19">
      <c r="S5499" s="109"/>
    </row>
    <row r="5500" spans="19:19">
      <c r="S5500" s="109"/>
    </row>
    <row r="5501" spans="19:19">
      <c r="S5501" s="109"/>
    </row>
    <row r="5502" spans="19:19">
      <c r="S5502" s="109"/>
    </row>
    <row r="5503" spans="19:19">
      <c r="S5503" s="109"/>
    </row>
    <row r="5504" spans="19:19">
      <c r="S5504" s="109"/>
    </row>
    <row r="5505" spans="19:19">
      <c r="S5505" s="109"/>
    </row>
    <row r="5506" spans="19:19">
      <c r="S5506" s="109"/>
    </row>
    <row r="5507" spans="19:19">
      <c r="S5507" s="109"/>
    </row>
    <row r="5508" spans="19:19">
      <c r="S5508" s="109"/>
    </row>
    <row r="5509" spans="19:19">
      <c r="S5509" s="109"/>
    </row>
    <row r="5510" spans="19:19">
      <c r="S5510" s="109"/>
    </row>
    <row r="5511" spans="19:19">
      <c r="S5511" s="109"/>
    </row>
    <row r="5512" spans="19:19">
      <c r="S5512" s="109"/>
    </row>
    <row r="5513" spans="19:19">
      <c r="S5513" s="109"/>
    </row>
    <row r="5514" spans="19:19">
      <c r="S5514" s="109"/>
    </row>
    <row r="5515" spans="19:19">
      <c r="S5515" s="109"/>
    </row>
    <row r="5516" spans="19:19">
      <c r="S5516" s="109"/>
    </row>
    <row r="5517" spans="19:19">
      <c r="S5517" s="109"/>
    </row>
    <row r="5518" spans="19:19">
      <c r="S5518" s="109"/>
    </row>
    <row r="5519" spans="19:19">
      <c r="S5519" s="109"/>
    </row>
    <row r="5520" spans="19:19">
      <c r="S5520" s="109"/>
    </row>
    <row r="5521" spans="19:19">
      <c r="S5521" s="109"/>
    </row>
    <row r="5522" spans="19:19">
      <c r="S5522" s="109"/>
    </row>
    <row r="5523" spans="19:19">
      <c r="S5523" s="109"/>
    </row>
    <row r="5524" spans="19:19">
      <c r="S5524" s="109"/>
    </row>
    <row r="5525" spans="19:19">
      <c r="S5525" s="109"/>
    </row>
    <row r="5526" spans="19:19">
      <c r="S5526" s="109"/>
    </row>
    <row r="5527" spans="19:19">
      <c r="S5527" s="109"/>
    </row>
    <row r="5528" spans="19:19">
      <c r="S5528" s="109"/>
    </row>
    <row r="5529" spans="19:19">
      <c r="S5529" s="109"/>
    </row>
    <row r="5530" spans="19:19">
      <c r="S5530" s="109"/>
    </row>
    <row r="5531" spans="19:19">
      <c r="S5531" s="109"/>
    </row>
    <row r="5532" spans="19:19">
      <c r="S5532" s="109"/>
    </row>
    <row r="5533" spans="19:19">
      <c r="S5533" s="109"/>
    </row>
    <row r="5534" spans="19:19">
      <c r="S5534" s="109"/>
    </row>
    <row r="5535" spans="19:19">
      <c r="S5535" s="109"/>
    </row>
    <row r="5536" spans="19:19">
      <c r="S5536" s="109"/>
    </row>
    <row r="5537" spans="19:19">
      <c r="S5537" s="109"/>
    </row>
    <row r="5538" spans="19:19">
      <c r="S5538" s="109"/>
    </row>
    <row r="5539" spans="19:19">
      <c r="S5539" s="109"/>
    </row>
    <row r="5540" spans="19:19">
      <c r="S5540" s="109"/>
    </row>
    <row r="5541" spans="19:19">
      <c r="S5541" s="109"/>
    </row>
    <row r="5542" spans="19:19">
      <c r="S5542" s="109"/>
    </row>
    <row r="5543" spans="19:19">
      <c r="S5543" s="109"/>
    </row>
    <row r="5544" spans="19:19">
      <c r="S5544" s="109"/>
    </row>
    <row r="5545" spans="19:19">
      <c r="S5545" s="109"/>
    </row>
    <row r="5546" spans="19:19">
      <c r="S5546" s="109"/>
    </row>
    <row r="5547" spans="19:19">
      <c r="S5547" s="109"/>
    </row>
    <row r="5548" spans="19:19">
      <c r="S5548" s="109"/>
    </row>
    <row r="5549" spans="19:19">
      <c r="S5549" s="109"/>
    </row>
    <row r="5550" spans="19:19">
      <c r="S5550" s="109"/>
    </row>
    <row r="5551" spans="19:19">
      <c r="S5551" s="109"/>
    </row>
    <row r="5552" spans="19:19">
      <c r="S5552" s="109"/>
    </row>
    <row r="5553" spans="19:19">
      <c r="S5553" s="109"/>
    </row>
    <row r="5554" spans="19:19">
      <c r="S5554" s="109"/>
    </row>
    <row r="5555" spans="19:19">
      <c r="S5555" s="109"/>
    </row>
    <row r="5556" spans="19:19">
      <c r="S5556" s="109"/>
    </row>
    <row r="5557" spans="19:19">
      <c r="S5557" s="109"/>
    </row>
    <row r="5558" spans="19:19">
      <c r="S5558" s="109"/>
    </row>
    <row r="5559" spans="19:19">
      <c r="S5559" s="109"/>
    </row>
    <row r="5560" spans="19:19">
      <c r="S5560" s="109"/>
    </row>
    <row r="5561" spans="19:19">
      <c r="S5561" s="109"/>
    </row>
    <row r="5562" spans="19:19">
      <c r="S5562" s="109"/>
    </row>
    <row r="5563" spans="19:19">
      <c r="S5563" s="109"/>
    </row>
    <row r="5564" spans="19:19">
      <c r="S5564" s="109"/>
    </row>
    <row r="5565" spans="19:19">
      <c r="S5565" s="109"/>
    </row>
    <row r="5566" spans="19:19">
      <c r="S5566" s="109"/>
    </row>
    <row r="5567" spans="19:19">
      <c r="S5567" s="109"/>
    </row>
    <row r="5568" spans="19:19">
      <c r="S5568" s="109"/>
    </row>
    <row r="5569" spans="19:19">
      <c r="S5569" s="109"/>
    </row>
    <row r="5570" spans="19:19">
      <c r="S5570" s="109"/>
    </row>
    <row r="5571" spans="19:19">
      <c r="S5571" s="109"/>
    </row>
    <row r="5572" spans="19:19">
      <c r="S5572" s="109"/>
    </row>
    <row r="5573" spans="19:19">
      <c r="S5573" s="109"/>
    </row>
    <row r="5574" spans="19:19">
      <c r="S5574" s="109"/>
    </row>
    <row r="5575" spans="19:19">
      <c r="S5575" s="109"/>
    </row>
    <row r="5576" spans="19:19">
      <c r="S5576" s="109"/>
    </row>
    <row r="5577" spans="19:19">
      <c r="S5577" s="109"/>
    </row>
    <row r="5578" spans="19:19">
      <c r="S5578" s="109"/>
    </row>
    <row r="5579" spans="19:19">
      <c r="S5579" s="109"/>
    </row>
    <row r="5580" spans="19:19">
      <c r="S5580" s="109"/>
    </row>
    <row r="5581" spans="19:19">
      <c r="S5581" s="109"/>
    </row>
    <row r="5582" spans="19:19">
      <c r="S5582" s="109"/>
    </row>
    <row r="5583" spans="19:19">
      <c r="S5583" s="109"/>
    </row>
    <row r="5584" spans="19:19">
      <c r="S5584" s="109"/>
    </row>
    <row r="5585" spans="19:19">
      <c r="S5585" s="109"/>
    </row>
    <row r="5586" spans="19:19">
      <c r="S5586" s="109"/>
    </row>
    <row r="5587" spans="19:19">
      <c r="S5587" s="109"/>
    </row>
    <row r="5588" spans="19:19">
      <c r="S5588" s="109"/>
    </row>
    <row r="5589" spans="19:19">
      <c r="S5589" s="109"/>
    </row>
    <row r="5590" spans="19:19">
      <c r="S5590" s="109"/>
    </row>
    <row r="5591" spans="19:19">
      <c r="S5591" s="109"/>
    </row>
    <row r="5592" spans="19:19">
      <c r="S5592" s="109"/>
    </row>
    <row r="5593" spans="19:19">
      <c r="S5593" s="109"/>
    </row>
    <row r="5594" spans="19:19">
      <c r="S5594" s="109"/>
    </row>
    <row r="5595" spans="19:19">
      <c r="S5595" s="109"/>
    </row>
    <row r="5596" spans="19:19">
      <c r="S5596" s="109"/>
    </row>
    <row r="5597" spans="19:19">
      <c r="S5597" s="109"/>
    </row>
    <row r="5598" spans="19:19">
      <c r="S5598" s="109"/>
    </row>
    <row r="5599" spans="19:19">
      <c r="S5599" s="109"/>
    </row>
    <row r="5600" spans="19:19">
      <c r="S5600" s="109"/>
    </row>
    <row r="5601" spans="19:19">
      <c r="S5601" s="109"/>
    </row>
    <row r="5602" spans="19:19">
      <c r="S5602" s="109"/>
    </row>
    <row r="5603" spans="19:19">
      <c r="S5603" s="109"/>
    </row>
    <row r="5604" spans="19:19">
      <c r="S5604" s="109"/>
    </row>
    <row r="5605" spans="19:19">
      <c r="S5605" s="109"/>
    </row>
    <row r="5606" spans="19:19">
      <c r="S5606" s="109"/>
    </row>
    <row r="5607" spans="19:19">
      <c r="S5607" s="109"/>
    </row>
    <row r="5608" spans="19:19">
      <c r="S5608" s="109"/>
    </row>
    <row r="5609" spans="19:19">
      <c r="S5609" s="109"/>
    </row>
    <row r="5610" spans="19:19">
      <c r="S5610" s="109"/>
    </row>
    <row r="5611" spans="19:19">
      <c r="S5611" s="109"/>
    </row>
    <row r="5612" spans="19:19">
      <c r="S5612" s="109"/>
    </row>
    <row r="5613" spans="19:19">
      <c r="S5613" s="109"/>
    </row>
    <row r="5614" spans="19:19">
      <c r="S5614" s="109"/>
    </row>
    <row r="5615" spans="19:19">
      <c r="S5615" s="109"/>
    </row>
    <row r="5616" spans="19:19">
      <c r="S5616" s="109"/>
    </row>
    <row r="5617" spans="19:19">
      <c r="S5617" s="109"/>
    </row>
    <row r="5618" spans="19:19">
      <c r="S5618" s="109"/>
    </row>
    <row r="5619" spans="19:19">
      <c r="S5619" s="109"/>
    </row>
    <row r="5620" spans="19:19">
      <c r="S5620" s="109"/>
    </row>
    <row r="5621" spans="19:19">
      <c r="S5621" s="109"/>
    </row>
    <row r="5622" spans="19:19">
      <c r="S5622" s="109"/>
    </row>
    <row r="5623" spans="19:19">
      <c r="S5623" s="109"/>
    </row>
    <row r="5624" spans="19:19">
      <c r="S5624" s="109"/>
    </row>
    <row r="5625" spans="19:19">
      <c r="S5625" s="109"/>
    </row>
    <row r="5626" spans="19:19">
      <c r="S5626" s="109"/>
    </row>
    <row r="5627" spans="19:19">
      <c r="S5627" s="109"/>
    </row>
    <row r="5628" spans="19:19">
      <c r="S5628" s="109"/>
    </row>
    <row r="5629" spans="19:19">
      <c r="S5629" s="109"/>
    </row>
    <row r="5630" spans="19:19">
      <c r="S5630" s="109"/>
    </row>
    <row r="5631" spans="19:19">
      <c r="S5631" s="109"/>
    </row>
    <row r="5632" spans="19:19">
      <c r="S5632" s="109"/>
    </row>
    <row r="5633" spans="19:19">
      <c r="S5633" s="109"/>
    </row>
    <row r="5634" spans="19:19">
      <c r="S5634" s="109"/>
    </row>
    <row r="5635" spans="19:19">
      <c r="S5635" s="109"/>
    </row>
    <row r="5636" spans="19:19">
      <c r="S5636" s="109"/>
    </row>
    <row r="5637" spans="19:19">
      <c r="S5637" s="109"/>
    </row>
    <row r="5638" spans="19:19">
      <c r="S5638" s="109"/>
    </row>
    <row r="5639" spans="19:19">
      <c r="S5639" s="109"/>
    </row>
    <row r="5640" spans="19:19">
      <c r="S5640" s="109"/>
    </row>
    <row r="5641" spans="19:19">
      <c r="S5641" s="109"/>
    </row>
    <row r="5642" spans="19:19">
      <c r="S5642" s="109"/>
    </row>
    <row r="5643" spans="19:19">
      <c r="S5643" s="109"/>
    </row>
    <row r="5644" spans="19:19">
      <c r="S5644" s="109"/>
    </row>
    <row r="5645" spans="19:19">
      <c r="S5645" s="109"/>
    </row>
    <row r="5646" spans="19:19">
      <c r="S5646" s="109"/>
    </row>
    <row r="5647" spans="19:19">
      <c r="S5647" s="109"/>
    </row>
    <row r="5648" spans="19:19">
      <c r="S5648" s="109"/>
    </row>
    <row r="5649" spans="19:19">
      <c r="S5649" s="109"/>
    </row>
    <row r="5650" spans="19:19">
      <c r="S5650" s="109"/>
    </row>
    <row r="5651" spans="19:19">
      <c r="S5651" s="109"/>
    </row>
    <row r="5652" spans="19:19">
      <c r="S5652" s="109"/>
    </row>
    <row r="5653" spans="19:19">
      <c r="S5653" s="109"/>
    </row>
    <row r="5654" spans="19:19">
      <c r="S5654" s="109"/>
    </row>
    <row r="5655" spans="19:19">
      <c r="S5655" s="109"/>
    </row>
    <row r="5656" spans="19:19">
      <c r="S5656" s="109"/>
    </row>
    <row r="5657" spans="19:19">
      <c r="S5657" s="109"/>
    </row>
    <row r="5658" spans="19:19">
      <c r="S5658" s="109"/>
    </row>
    <row r="5659" spans="19:19">
      <c r="S5659" s="109"/>
    </row>
    <row r="5660" spans="19:19">
      <c r="S5660" s="109"/>
    </row>
    <row r="5661" spans="19:19">
      <c r="S5661" s="109"/>
    </row>
    <row r="5662" spans="19:19">
      <c r="S5662" s="109"/>
    </row>
    <row r="5663" spans="19:19">
      <c r="S5663" s="109"/>
    </row>
    <row r="5664" spans="19:19">
      <c r="S5664" s="109"/>
    </row>
    <row r="5665" spans="19:19">
      <c r="S5665" s="109"/>
    </row>
    <row r="5666" spans="19:19">
      <c r="S5666" s="109"/>
    </row>
    <row r="5667" spans="19:19">
      <c r="S5667" s="109"/>
    </row>
    <row r="5668" spans="19:19">
      <c r="S5668" s="109"/>
    </row>
    <row r="5669" spans="19:19">
      <c r="S5669" s="109"/>
    </row>
    <row r="5670" spans="19:19">
      <c r="S5670" s="109"/>
    </row>
    <row r="5671" spans="19:19">
      <c r="S5671" s="109"/>
    </row>
    <row r="5672" spans="19:19">
      <c r="S5672" s="109"/>
    </row>
    <row r="5673" spans="19:19">
      <c r="S5673" s="109"/>
    </row>
    <row r="5674" spans="19:19">
      <c r="S5674" s="109"/>
    </row>
    <row r="5675" spans="19:19">
      <c r="S5675" s="109"/>
    </row>
    <row r="5676" spans="19:19">
      <c r="S5676" s="109"/>
    </row>
    <row r="5677" spans="19:19">
      <c r="S5677" s="109"/>
    </row>
    <row r="5678" spans="19:19">
      <c r="S5678" s="109"/>
    </row>
    <row r="5679" spans="19:19">
      <c r="S5679" s="109"/>
    </row>
    <row r="5680" spans="19:19">
      <c r="S5680" s="109"/>
    </row>
    <row r="5681" spans="19:19">
      <c r="S5681" s="109"/>
    </row>
    <row r="5682" spans="19:19">
      <c r="S5682" s="109"/>
    </row>
    <row r="5683" spans="19:19">
      <c r="S5683" s="109"/>
    </row>
    <row r="5684" spans="19:19">
      <c r="S5684" s="109"/>
    </row>
    <row r="5685" spans="19:19">
      <c r="S5685" s="109"/>
    </row>
    <row r="5686" spans="19:19">
      <c r="S5686" s="109"/>
    </row>
    <row r="5687" spans="19:19">
      <c r="S5687" s="109"/>
    </row>
    <row r="5688" spans="19:19">
      <c r="S5688" s="109"/>
    </row>
    <row r="5689" spans="19:19">
      <c r="S5689" s="109"/>
    </row>
    <row r="5690" spans="19:19">
      <c r="S5690" s="109"/>
    </row>
    <row r="5691" spans="19:19">
      <c r="S5691" s="109"/>
    </row>
    <row r="5692" spans="19:19">
      <c r="S5692" s="109"/>
    </row>
    <row r="5693" spans="19:19">
      <c r="S5693" s="109"/>
    </row>
    <row r="5694" spans="19:19">
      <c r="S5694" s="109"/>
    </row>
    <row r="5695" spans="19:19">
      <c r="S5695" s="109"/>
    </row>
    <row r="5696" spans="19:19">
      <c r="S5696" s="109"/>
    </row>
    <row r="5697" spans="19:19">
      <c r="S5697" s="109"/>
    </row>
    <row r="5698" spans="19:19">
      <c r="S5698" s="109"/>
    </row>
    <row r="5699" spans="19:19">
      <c r="S5699" s="109"/>
    </row>
    <row r="5700" spans="19:19">
      <c r="S5700" s="109"/>
    </row>
    <row r="5701" spans="19:19">
      <c r="S5701" s="109"/>
    </row>
    <row r="5702" spans="19:19">
      <c r="S5702" s="109"/>
    </row>
    <row r="5703" spans="19:19">
      <c r="S5703" s="109"/>
    </row>
    <row r="5704" spans="19:19">
      <c r="S5704" s="109"/>
    </row>
    <row r="5705" spans="19:19">
      <c r="S5705" s="109"/>
    </row>
    <row r="5706" spans="19:19">
      <c r="S5706" s="109"/>
    </row>
    <row r="5707" spans="19:19">
      <c r="S5707" s="109"/>
    </row>
    <row r="5708" spans="19:19">
      <c r="S5708" s="109"/>
    </row>
    <row r="5709" spans="19:19">
      <c r="S5709" s="109"/>
    </row>
    <row r="5710" spans="19:19">
      <c r="S5710" s="109"/>
    </row>
    <row r="5711" spans="19:19">
      <c r="S5711" s="109"/>
    </row>
    <row r="5712" spans="19:19">
      <c r="S5712" s="109"/>
    </row>
    <row r="5713" spans="19:19">
      <c r="S5713" s="109"/>
    </row>
    <row r="5714" spans="19:19">
      <c r="S5714" s="109"/>
    </row>
    <row r="5715" spans="19:19">
      <c r="S5715" s="109"/>
    </row>
    <row r="5716" spans="19:19">
      <c r="S5716" s="109"/>
    </row>
    <row r="5717" spans="19:19">
      <c r="S5717" s="109"/>
    </row>
    <row r="5718" spans="19:19">
      <c r="S5718" s="109"/>
    </row>
    <row r="5719" spans="19:19">
      <c r="S5719" s="109"/>
    </row>
    <row r="5720" spans="19:19">
      <c r="S5720" s="109"/>
    </row>
    <row r="5721" spans="19:19">
      <c r="S5721" s="109"/>
    </row>
    <row r="5722" spans="19:19">
      <c r="S5722" s="109"/>
    </row>
    <row r="5723" spans="19:19">
      <c r="S5723" s="109"/>
    </row>
    <row r="5724" spans="19:19">
      <c r="S5724" s="109"/>
    </row>
    <row r="5725" spans="19:19">
      <c r="S5725" s="109"/>
    </row>
    <row r="5726" spans="19:19">
      <c r="S5726" s="109"/>
    </row>
    <row r="5727" spans="19:19">
      <c r="S5727" s="109"/>
    </row>
    <row r="5728" spans="19:19">
      <c r="S5728" s="109"/>
    </row>
    <row r="5729" spans="19:19">
      <c r="S5729" s="109"/>
    </row>
    <row r="5730" spans="19:19">
      <c r="S5730" s="109"/>
    </row>
    <row r="5731" spans="19:19">
      <c r="S5731" s="109"/>
    </row>
    <row r="5732" spans="19:19">
      <c r="S5732" s="109"/>
    </row>
    <row r="5733" spans="19:19">
      <c r="S5733" s="109"/>
    </row>
    <row r="5734" spans="19:19">
      <c r="S5734" s="109"/>
    </row>
    <row r="5735" spans="19:19">
      <c r="S5735" s="109"/>
    </row>
    <row r="5736" spans="19:19">
      <c r="S5736" s="109"/>
    </row>
    <row r="5737" spans="19:19">
      <c r="S5737" s="109"/>
    </row>
    <row r="5738" spans="19:19">
      <c r="S5738" s="109"/>
    </row>
    <row r="5739" spans="19:19">
      <c r="S5739" s="109"/>
    </row>
    <row r="5740" spans="19:19">
      <c r="S5740" s="109"/>
    </row>
    <row r="5741" spans="19:19">
      <c r="S5741" s="109"/>
    </row>
    <row r="5742" spans="19:19">
      <c r="S5742" s="109"/>
    </row>
    <row r="5743" spans="19:19">
      <c r="S5743" s="109"/>
    </row>
    <row r="5744" spans="19:19">
      <c r="S5744" s="109"/>
    </row>
    <row r="5745" spans="19:19">
      <c r="S5745" s="109"/>
    </row>
    <row r="5746" spans="19:19">
      <c r="S5746" s="109"/>
    </row>
    <row r="5747" spans="19:19">
      <c r="S5747" s="109"/>
    </row>
    <row r="5748" spans="19:19">
      <c r="S5748" s="109"/>
    </row>
    <row r="5749" spans="19:19">
      <c r="S5749" s="109"/>
    </row>
    <row r="5750" spans="19:19">
      <c r="S5750" s="109"/>
    </row>
    <row r="5751" spans="19:19">
      <c r="S5751" s="109"/>
    </row>
    <row r="5752" spans="19:19">
      <c r="S5752" s="109"/>
    </row>
    <row r="5753" spans="19:19">
      <c r="S5753" s="109"/>
    </row>
    <row r="5754" spans="19:19">
      <c r="S5754" s="109"/>
    </row>
    <row r="5755" spans="19:19">
      <c r="S5755" s="109"/>
    </row>
    <row r="5756" spans="19:19">
      <c r="S5756" s="109"/>
    </row>
    <row r="5757" spans="19:19">
      <c r="S5757" s="109"/>
    </row>
    <row r="5758" spans="19:19">
      <c r="S5758" s="109"/>
    </row>
    <row r="5759" spans="19:19">
      <c r="S5759" s="109"/>
    </row>
    <row r="5760" spans="19:19">
      <c r="S5760" s="109"/>
    </row>
    <row r="5761" spans="19:19">
      <c r="S5761" s="109"/>
    </row>
    <row r="5762" spans="19:19">
      <c r="S5762" s="109"/>
    </row>
    <row r="5763" spans="19:19">
      <c r="S5763" s="109"/>
    </row>
    <row r="5764" spans="19:19">
      <c r="S5764" s="109"/>
    </row>
    <row r="5765" spans="19:19">
      <c r="S5765" s="109"/>
    </row>
    <row r="5766" spans="19:19">
      <c r="S5766" s="109"/>
    </row>
    <row r="5767" spans="19:19">
      <c r="S5767" s="109"/>
    </row>
    <row r="5768" spans="19:19">
      <c r="S5768" s="109"/>
    </row>
    <row r="5769" spans="19:19">
      <c r="S5769" s="109"/>
    </row>
    <row r="5770" spans="19:19">
      <c r="S5770" s="109"/>
    </row>
    <row r="5771" spans="19:19">
      <c r="S5771" s="109"/>
    </row>
    <row r="5772" spans="19:19">
      <c r="S5772" s="109"/>
    </row>
    <row r="5773" spans="19:19">
      <c r="S5773" s="109"/>
    </row>
    <row r="5774" spans="19:19">
      <c r="S5774" s="109"/>
    </row>
    <row r="5775" spans="19:19">
      <c r="S5775" s="109"/>
    </row>
    <row r="5776" spans="19:19">
      <c r="S5776" s="109"/>
    </row>
    <row r="5777" spans="19:19">
      <c r="S5777" s="109"/>
    </row>
    <row r="5778" spans="19:19">
      <c r="S5778" s="109"/>
    </row>
    <row r="5779" spans="19:19">
      <c r="S5779" s="109"/>
    </row>
    <row r="5780" spans="19:19">
      <c r="S5780" s="109"/>
    </row>
    <row r="5781" spans="19:19">
      <c r="S5781" s="109"/>
    </row>
    <row r="5782" spans="19:19">
      <c r="S5782" s="109"/>
    </row>
    <row r="5783" spans="19:19">
      <c r="S5783" s="109"/>
    </row>
    <row r="5784" spans="19:19">
      <c r="S5784" s="109"/>
    </row>
    <row r="5785" spans="19:19">
      <c r="S5785" s="109"/>
    </row>
    <row r="5786" spans="19:19">
      <c r="S5786" s="109"/>
    </row>
    <row r="5787" spans="19:19">
      <c r="S5787" s="109"/>
    </row>
    <row r="5788" spans="19:19">
      <c r="S5788" s="109"/>
    </row>
    <row r="5789" spans="19:19">
      <c r="S5789" s="109"/>
    </row>
    <row r="5790" spans="19:19">
      <c r="S5790" s="109"/>
    </row>
    <row r="5791" spans="19:19">
      <c r="S5791" s="109"/>
    </row>
    <row r="5792" spans="19:19">
      <c r="S5792" s="109"/>
    </row>
    <row r="5793" spans="19:19">
      <c r="S5793" s="109"/>
    </row>
    <row r="5794" spans="19:19">
      <c r="S5794" s="109"/>
    </row>
    <row r="5795" spans="19:19">
      <c r="S5795" s="109"/>
    </row>
    <row r="5796" spans="19:19">
      <c r="S5796" s="109"/>
    </row>
    <row r="5797" spans="19:19">
      <c r="S5797" s="109"/>
    </row>
    <row r="5798" spans="19:19">
      <c r="S5798" s="109"/>
    </row>
    <row r="5799" spans="19:19">
      <c r="S5799" s="109"/>
    </row>
    <row r="5800" spans="19:19">
      <c r="S5800" s="109"/>
    </row>
    <row r="5801" spans="19:19">
      <c r="S5801" s="109"/>
    </row>
    <row r="5802" spans="19:19">
      <c r="S5802" s="109"/>
    </row>
    <row r="5803" spans="19:19">
      <c r="S5803" s="109"/>
    </row>
    <row r="5804" spans="19:19">
      <c r="S5804" s="109"/>
    </row>
    <row r="5805" spans="19:19">
      <c r="S5805" s="109"/>
    </row>
    <row r="5806" spans="19:19">
      <c r="S5806" s="109"/>
    </row>
    <row r="5807" spans="19:19">
      <c r="S5807" s="109"/>
    </row>
    <row r="5808" spans="19:19">
      <c r="S5808" s="109"/>
    </row>
    <row r="5809" spans="19:19">
      <c r="S5809" s="109"/>
    </row>
    <row r="5810" spans="19:19">
      <c r="S5810" s="109"/>
    </row>
    <row r="5811" spans="19:19">
      <c r="S5811" s="109"/>
    </row>
    <row r="5812" spans="19:19">
      <c r="S5812" s="109"/>
    </row>
    <row r="5813" spans="19:19">
      <c r="S5813" s="109"/>
    </row>
    <row r="5814" spans="19:19">
      <c r="S5814" s="109"/>
    </row>
    <row r="5815" spans="19:19">
      <c r="S5815" s="109"/>
    </row>
    <row r="5816" spans="19:19">
      <c r="S5816" s="109"/>
    </row>
    <row r="5817" spans="19:19">
      <c r="S5817" s="109"/>
    </row>
    <row r="5818" spans="19:19">
      <c r="S5818" s="109"/>
    </row>
    <row r="5819" spans="19:19">
      <c r="S5819" s="109"/>
    </row>
    <row r="5820" spans="19:19">
      <c r="S5820" s="109"/>
    </row>
    <row r="5821" spans="19:19">
      <c r="S5821" s="109"/>
    </row>
    <row r="5822" spans="19:19">
      <c r="S5822" s="109"/>
    </row>
    <row r="5823" spans="19:19">
      <c r="S5823" s="109"/>
    </row>
    <row r="5824" spans="19:19">
      <c r="S5824" s="109"/>
    </row>
    <row r="5825" spans="19:19">
      <c r="S5825" s="109"/>
    </row>
    <row r="5826" spans="19:19">
      <c r="S5826" s="109"/>
    </row>
    <row r="5827" spans="19:19">
      <c r="S5827" s="109"/>
    </row>
    <row r="5828" spans="19:19">
      <c r="S5828" s="109"/>
    </row>
    <row r="5829" spans="19:19">
      <c r="S5829" s="109"/>
    </row>
    <row r="5830" spans="19:19">
      <c r="S5830" s="109"/>
    </row>
    <row r="5831" spans="19:19">
      <c r="S5831" s="109"/>
    </row>
    <row r="5832" spans="19:19">
      <c r="S5832" s="109"/>
    </row>
    <row r="5833" spans="19:19">
      <c r="S5833" s="109"/>
    </row>
    <row r="5834" spans="19:19">
      <c r="S5834" s="109"/>
    </row>
    <row r="5835" spans="19:19">
      <c r="S5835" s="109"/>
    </row>
    <row r="5836" spans="19:19">
      <c r="S5836" s="109"/>
    </row>
    <row r="5837" spans="19:19">
      <c r="S5837" s="109"/>
    </row>
    <row r="5838" spans="19:19">
      <c r="S5838" s="109"/>
    </row>
    <row r="5839" spans="19:19">
      <c r="S5839" s="109"/>
    </row>
    <row r="5840" spans="19:19">
      <c r="S5840" s="109"/>
    </row>
    <row r="5841" spans="19:19">
      <c r="S5841" s="109"/>
    </row>
    <row r="5842" spans="19:19">
      <c r="S5842" s="109"/>
    </row>
    <row r="5843" spans="19:19">
      <c r="S5843" s="109"/>
    </row>
    <row r="5844" spans="19:19">
      <c r="S5844" s="109"/>
    </row>
    <row r="5845" spans="19:19">
      <c r="S5845" s="109"/>
    </row>
    <row r="5846" spans="19:19">
      <c r="S5846" s="109"/>
    </row>
    <row r="5847" spans="19:19">
      <c r="S5847" s="109"/>
    </row>
    <row r="5848" spans="19:19">
      <c r="S5848" s="109"/>
    </row>
    <row r="5849" spans="19:19">
      <c r="S5849" s="109"/>
    </row>
    <row r="5850" spans="19:19">
      <c r="S5850" s="109"/>
    </row>
    <row r="5851" spans="19:19">
      <c r="S5851" s="109"/>
    </row>
    <row r="5852" spans="19:19">
      <c r="S5852" s="109"/>
    </row>
    <row r="5853" spans="19:19">
      <c r="S5853" s="109"/>
    </row>
    <row r="5854" spans="19:19">
      <c r="S5854" s="109"/>
    </row>
    <row r="5855" spans="19:19">
      <c r="S5855" s="109"/>
    </row>
    <row r="5856" spans="19:19">
      <c r="S5856" s="109"/>
    </row>
    <row r="5857" spans="19:19">
      <c r="S5857" s="109"/>
    </row>
    <row r="5858" spans="19:19">
      <c r="S5858" s="109"/>
    </row>
    <row r="5859" spans="19:19">
      <c r="S5859" s="109"/>
    </row>
    <row r="5860" spans="19:19">
      <c r="S5860" s="109"/>
    </row>
    <row r="5861" spans="19:19">
      <c r="S5861" s="109"/>
    </row>
    <row r="5862" spans="19:19">
      <c r="S5862" s="109"/>
    </row>
    <row r="5863" spans="19:19">
      <c r="S5863" s="109"/>
    </row>
    <row r="5864" spans="19:19">
      <c r="S5864" s="109"/>
    </row>
    <row r="5865" spans="19:19">
      <c r="S5865" s="109"/>
    </row>
    <row r="5866" spans="19:19">
      <c r="S5866" s="109"/>
    </row>
    <row r="5867" spans="19:19">
      <c r="S5867" s="109"/>
    </row>
    <row r="5868" spans="19:19">
      <c r="S5868" s="109"/>
    </row>
    <row r="5869" spans="19:19">
      <c r="S5869" s="109"/>
    </row>
    <row r="5870" spans="19:19">
      <c r="S5870" s="109"/>
    </row>
    <row r="5871" spans="19:19">
      <c r="S5871" s="109"/>
    </row>
    <row r="5872" spans="19:19">
      <c r="S5872" s="109"/>
    </row>
    <row r="5873" spans="19:19">
      <c r="S5873" s="109"/>
    </row>
    <row r="5874" spans="19:19">
      <c r="S5874" s="109"/>
    </row>
    <row r="5875" spans="19:19">
      <c r="S5875" s="109"/>
    </row>
    <row r="5876" spans="19:19">
      <c r="S5876" s="109"/>
    </row>
    <row r="5877" spans="19:19">
      <c r="S5877" s="109"/>
    </row>
    <row r="5878" spans="19:19">
      <c r="S5878" s="109"/>
    </row>
    <row r="5879" spans="19:19">
      <c r="S5879" s="109"/>
    </row>
    <row r="5880" spans="19:19">
      <c r="S5880" s="109"/>
    </row>
    <row r="5881" spans="19:19">
      <c r="S5881" s="109"/>
    </row>
    <row r="5882" spans="19:19">
      <c r="S5882" s="109"/>
    </row>
    <row r="5883" spans="19:19">
      <c r="S5883" s="109"/>
    </row>
    <row r="5884" spans="19:19">
      <c r="S5884" s="109"/>
    </row>
    <row r="5885" spans="19:19">
      <c r="S5885" s="109"/>
    </row>
    <row r="5886" spans="19:19">
      <c r="S5886" s="109"/>
    </row>
    <row r="5887" spans="19:19">
      <c r="S5887" s="109"/>
    </row>
    <row r="5888" spans="19:19">
      <c r="S5888" s="109"/>
    </row>
    <row r="5889" spans="19:19">
      <c r="S5889" s="109"/>
    </row>
    <row r="5890" spans="19:19">
      <c r="S5890" s="109"/>
    </row>
    <row r="5891" spans="19:19">
      <c r="S5891" s="109"/>
    </row>
    <row r="5892" spans="19:19">
      <c r="S5892" s="109"/>
    </row>
    <row r="5893" spans="19:19">
      <c r="S5893" s="109"/>
    </row>
    <row r="5894" spans="19:19">
      <c r="S5894" s="109"/>
    </row>
    <row r="5895" spans="19:19">
      <c r="S5895" s="109"/>
    </row>
    <row r="5896" spans="19:19">
      <c r="S5896" s="109"/>
    </row>
    <row r="5897" spans="19:19">
      <c r="S5897" s="109"/>
    </row>
    <row r="5898" spans="19:19">
      <c r="S5898" s="109"/>
    </row>
    <row r="5899" spans="19:19">
      <c r="S5899" s="109"/>
    </row>
    <row r="5900" spans="19:19">
      <c r="S5900" s="109"/>
    </row>
    <row r="5901" spans="19:19">
      <c r="S5901" s="109"/>
    </row>
    <row r="5902" spans="19:19">
      <c r="S5902" s="109"/>
    </row>
    <row r="5903" spans="19:19">
      <c r="S5903" s="109"/>
    </row>
    <row r="5904" spans="19:19">
      <c r="S5904" s="109"/>
    </row>
    <row r="5905" spans="19:19">
      <c r="S5905" s="109"/>
    </row>
    <row r="5906" spans="19:19">
      <c r="S5906" s="109"/>
    </row>
    <row r="5907" spans="19:19">
      <c r="S5907" s="109"/>
    </row>
    <row r="5908" spans="19:19">
      <c r="S5908" s="109"/>
    </row>
    <row r="5909" spans="19:19">
      <c r="S5909" s="109"/>
    </row>
    <row r="5910" spans="19:19">
      <c r="S5910" s="109"/>
    </row>
    <row r="5911" spans="19:19">
      <c r="S5911" s="109"/>
    </row>
    <row r="5912" spans="19:19">
      <c r="S5912" s="109"/>
    </row>
    <row r="5913" spans="19:19">
      <c r="S5913" s="109"/>
    </row>
    <row r="5914" spans="19:19">
      <c r="S5914" s="109"/>
    </row>
    <row r="5915" spans="19:19">
      <c r="S5915" s="109"/>
    </row>
    <row r="5916" spans="19:19">
      <c r="S5916" s="109"/>
    </row>
    <row r="5917" spans="19:19">
      <c r="S5917" s="109"/>
    </row>
    <row r="5918" spans="19:19">
      <c r="S5918" s="109"/>
    </row>
    <row r="5919" spans="19:19">
      <c r="S5919" s="109"/>
    </row>
    <row r="5920" spans="19:19">
      <c r="S5920" s="109"/>
    </row>
    <row r="5921" spans="19:19">
      <c r="S5921" s="109"/>
    </row>
    <row r="5922" spans="19:19">
      <c r="S5922" s="109"/>
    </row>
    <row r="5923" spans="19:19">
      <c r="S5923" s="109"/>
    </row>
    <row r="5924" spans="19:19">
      <c r="S5924" s="109"/>
    </row>
    <row r="5925" spans="19:19">
      <c r="S5925" s="109"/>
    </row>
    <row r="5926" spans="19:19">
      <c r="S5926" s="109"/>
    </row>
    <row r="5927" spans="19:19">
      <c r="S5927" s="109"/>
    </row>
    <row r="5928" spans="19:19">
      <c r="S5928" s="109"/>
    </row>
    <row r="5929" spans="19:19">
      <c r="S5929" s="109"/>
    </row>
    <row r="5930" spans="19:19">
      <c r="S5930" s="109"/>
    </row>
    <row r="5931" spans="19:19">
      <c r="S5931" s="109"/>
    </row>
    <row r="5932" spans="19:19">
      <c r="S5932" s="109"/>
    </row>
    <row r="5933" spans="19:19">
      <c r="S5933" s="109"/>
    </row>
    <row r="5934" spans="19:19">
      <c r="S5934" s="109"/>
    </row>
    <row r="5935" spans="19:19">
      <c r="S5935" s="109"/>
    </row>
    <row r="5936" spans="19:19">
      <c r="S5936" s="109"/>
    </row>
    <row r="5937" spans="19:19">
      <c r="S5937" s="109"/>
    </row>
    <row r="5938" spans="19:19">
      <c r="S5938" s="109"/>
    </row>
    <row r="5939" spans="19:19">
      <c r="S5939" s="109"/>
    </row>
    <row r="5940" spans="19:19">
      <c r="S5940" s="109"/>
    </row>
    <row r="5941" spans="19:19">
      <c r="S5941" s="109"/>
    </row>
    <row r="5942" spans="19:19">
      <c r="S5942" s="109"/>
    </row>
    <row r="5943" spans="19:19">
      <c r="S5943" s="109"/>
    </row>
    <row r="5944" spans="19:19">
      <c r="S5944" s="109"/>
    </row>
    <row r="5945" spans="19:19">
      <c r="S5945" s="109"/>
    </row>
    <row r="5946" spans="19:19">
      <c r="S5946" s="109"/>
    </row>
    <row r="5947" spans="19:19">
      <c r="S5947" s="109"/>
    </row>
    <row r="5948" spans="19:19">
      <c r="S5948" s="109"/>
    </row>
    <row r="5949" spans="19:19">
      <c r="S5949" s="109"/>
    </row>
    <row r="5950" spans="19:19">
      <c r="S5950" s="109"/>
    </row>
    <row r="5951" spans="19:19">
      <c r="S5951" s="109"/>
    </row>
    <row r="5952" spans="19:19">
      <c r="S5952" s="109"/>
    </row>
    <row r="5953" spans="19:19">
      <c r="S5953" s="109"/>
    </row>
    <row r="5954" spans="19:19">
      <c r="S5954" s="109"/>
    </row>
    <row r="5955" spans="19:19">
      <c r="S5955" s="109"/>
    </row>
    <row r="5956" spans="19:19">
      <c r="S5956" s="109"/>
    </row>
    <row r="5957" spans="19:19">
      <c r="S5957" s="109"/>
    </row>
    <row r="5958" spans="19:19">
      <c r="S5958" s="109"/>
    </row>
    <row r="5959" spans="19:19">
      <c r="S5959" s="109"/>
    </row>
    <row r="5960" spans="19:19">
      <c r="S5960" s="109"/>
    </row>
    <row r="5961" spans="19:19">
      <c r="S5961" s="109"/>
    </row>
    <row r="5962" spans="19:19">
      <c r="S5962" s="109"/>
    </row>
    <row r="5963" spans="19:19">
      <c r="S5963" s="109"/>
    </row>
    <row r="5964" spans="19:19">
      <c r="S5964" s="109"/>
    </row>
    <row r="5965" spans="19:19">
      <c r="S5965" s="109"/>
    </row>
    <row r="5966" spans="19:19">
      <c r="S5966" s="109"/>
    </row>
    <row r="5967" spans="19:19">
      <c r="S5967" s="109"/>
    </row>
    <row r="5968" spans="19:19">
      <c r="S5968" s="109"/>
    </row>
    <row r="5969" spans="19:19">
      <c r="S5969" s="109"/>
    </row>
    <row r="5970" spans="19:19">
      <c r="S5970" s="109"/>
    </row>
    <row r="5971" spans="19:19">
      <c r="S5971" s="109"/>
    </row>
    <row r="5972" spans="19:19">
      <c r="S5972" s="109"/>
    </row>
    <row r="5973" spans="19:19">
      <c r="S5973" s="109"/>
    </row>
    <row r="5974" spans="19:19">
      <c r="S5974" s="109"/>
    </row>
    <row r="5975" spans="19:19">
      <c r="S5975" s="109"/>
    </row>
    <row r="5976" spans="19:19">
      <c r="S5976" s="109"/>
    </row>
    <row r="5977" spans="19:19">
      <c r="S5977" s="109"/>
    </row>
    <row r="5978" spans="19:19">
      <c r="S5978" s="109"/>
    </row>
    <row r="5979" spans="19:19">
      <c r="S5979" s="109"/>
    </row>
    <row r="5980" spans="19:19">
      <c r="S5980" s="109"/>
    </row>
    <row r="5981" spans="19:19">
      <c r="S5981" s="109"/>
    </row>
    <row r="5982" spans="19:19">
      <c r="S5982" s="109"/>
    </row>
    <row r="5983" spans="19:19">
      <c r="S5983" s="109"/>
    </row>
    <row r="5984" spans="19:19">
      <c r="S5984" s="109"/>
    </row>
    <row r="5985" spans="19:19">
      <c r="S5985" s="109"/>
    </row>
    <row r="5986" spans="19:19">
      <c r="S5986" s="109"/>
    </row>
    <row r="5987" spans="19:19">
      <c r="S5987" s="109"/>
    </row>
    <row r="5988" spans="19:19">
      <c r="S5988" s="109"/>
    </row>
    <row r="5989" spans="19:19">
      <c r="S5989" s="109"/>
    </row>
    <row r="5990" spans="19:19">
      <c r="S5990" s="109"/>
    </row>
    <row r="5991" spans="19:19">
      <c r="S5991" s="109"/>
    </row>
    <row r="5992" spans="19:19">
      <c r="S5992" s="109"/>
    </row>
    <row r="5993" spans="19:19">
      <c r="S5993" s="109"/>
    </row>
    <row r="5994" spans="19:19">
      <c r="S5994" s="109"/>
    </row>
    <row r="5995" spans="19:19">
      <c r="S5995" s="109"/>
    </row>
    <row r="5996" spans="19:19">
      <c r="S5996" s="109"/>
    </row>
    <row r="5997" spans="19:19">
      <c r="S5997" s="109"/>
    </row>
    <row r="5998" spans="19:19">
      <c r="S5998" s="109"/>
    </row>
    <row r="5999" spans="19:19">
      <c r="S5999" s="109"/>
    </row>
    <row r="6000" spans="19:19">
      <c r="S6000" s="109"/>
    </row>
    <row r="6001" spans="19:19">
      <c r="S6001" s="109"/>
    </row>
    <row r="6002" spans="19:19">
      <c r="S6002" s="109"/>
    </row>
    <row r="6003" spans="19:19">
      <c r="S6003" s="109"/>
    </row>
    <row r="6004" spans="19:19">
      <c r="S6004" s="109"/>
    </row>
    <row r="6005" spans="19:19">
      <c r="S6005" s="109"/>
    </row>
    <row r="6006" spans="19:19">
      <c r="S6006" s="109"/>
    </row>
    <row r="6007" spans="19:19">
      <c r="S6007" s="109"/>
    </row>
    <row r="6008" spans="19:19">
      <c r="S6008" s="109"/>
    </row>
    <row r="6009" spans="19:19">
      <c r="S6009" s="109"/>
    </row>
    <row r="6010" spans="19:19">
      <c r="S6010" s="109"/>
    </row>
    <row r="6011" spans="19:19">
      <c r="S6011" s="109"/>
    </row>
    <row r="6012" spans="19:19">
      <c r="S6012" s="109"/>
    </row>
    <row r="6013" spans="19:19">
      <c r="S6013" s="109"/>
    </row>
    <row r="6014" spans="19:19">
      <c r="S6014" s="109"/>
    </row>
    <row r="6015" spans="19:19">
      <c r="S6015" s="109"/>
    </row>
    <row r="6016" spans="19:19">
      <c r="S6016" s="109"/>
    </row>
    <row r="6017" spans="19:19">
      <c r="S6017" s="109"/>
    </row>
    <row r="6018" spans="19:19">
      <c r="S6018" s="109"/>
    </row>
    <row r="6019" spans="19:19">
      <c r="S6019" s="109"/>
    </row>
    <row r="6020" spans="19:19">
      <c r="S6020" s="109"/>
    </row>
    <row r="6021" spans="19:19">
      <c r="S6021" s="109"/>
    </row>
    <row r="6022" spans="19:19">
      <c r="S6022" s="109"/>
    </row>
    <row r="6023" spans="19:19">
      <c r="S6023" s="109"/>
    </row>
    <row r="6024" spans="19:19">
      <c r="S6024" s="109"/>
    </row>
    <row r="6025" spans="19:19">
      <c r="S6025" s="109"/>
    </row>
    <row r="6026" spans="19:19">
      <c r="S6026" s="109"/>
    </row>
    <row r="6027" spans="19:19">
      <c r="S6027" s="109"/>
    </row>
    <row r="6028" spans="19:19">
      <c r="S6028" s="109"/>
    </row>
    <row r="6029" spans="19:19">
      <c r="S6029" s="109"/>
    </row>
    <row r="6030" spans="19:19">
      <c r="S6030" s="109"/>
    </row>
    <row r="6031" spans="19:19">
      <c r="S6031" s="109"/>
    </row>
    <row r="6032" spans="19:19">
      <c r="S6032" s="109"/>
    </row>
    <row r="6033" spans="19:19">
      <c r="S6033" s="109"/>
    </row>
    <row r="6034" spans="19:19">
      <c r="S6034" s="109"/>
    </row>
    <row r="6035" spans="19:19">
      <c r="S6035" s="109"/>
    </row>
    <row r="6036" spans="19:19">
      <c r="S6036" s="109"/>
    </row>
    <row r="6037" spans="19:19">
      <c r="S6037" s="109"/>
    </row>
    <row r="6038" spans="19:19">
      <c r="S6038" s="109"/>
    </row>
    <row r="6039" spans="19:19">
      <c r="S6039" s="109"/>
    </row>
    <row r="6040" spans="19:19">
      <c r="S6040" s="109"/>
    </row>
    <row r="6041" spans="19:19">
      <c r="S6041" s="109"/>
    </row>
    <row r="6042" spans="19:19">
      <c r="S6042" s="109"/>
    </row>
    <row r="6043" spans="19:19">
      <c r="S6043" s="109"/>
    </row>
    <row r="6044" spans="19:19">
      <c r="S6044" s="109"/>
    </row>
    <row r="6045" spans="19:19">
      <c r="S6045" s="109"/>
    </row>
    <row r="6046" spans="19:19">
      <c r="S6046" s="109"/>
    </row>
    <row r="6047" spans="19:19">
      <c r="S6047" s="109"/>
    </row>
    <row r="6048" spans="19:19">
      <c r="S6048" s="109"/>
    </row>
    <row r="6049" spans="19:19">
      <c r="S6049" s="109"/>
    </row>
    <row r="6050" spans="19:19">
      <c r="S6050" s="109"/>
    </row>
    <row r="6051" spans="19:19">
      <c r="S6051" s="109"/>
    </row>
    <row r="6052" spans="19:19">
      <c r="S6052" s="109"/>
    </row>
    <row r="6053" spans="19:19">
      <c r="S6053" s="109"/>
    </row>
    <row r="6054" spans="19:19">
      <c r="S6054" s="109"/>
    </row>
    <row r="6055" spans="19:19">
      <c r="S6055" s="109"/>
    </row>
    <row r="6056" spans="19:19">
      <c r="S6056" s="109"/>
    </row>
    <row r="6057" spans="19:19">
      <c r="S6057" s="109"/>
    </row>
    <row r="6058" spans="19:19">
      <c r="S6058" s="109"/>
    </row>
    <row r="6059" spans="19:19">
      <c r="S6059" s="109"/>
    </row>
    <row r="6060" spans="19:19">
      <c r="S6060" s="109"/>
    </row>
    <row r="6061" spans="19:19">
      <c r="S6061" s="109"/>
    </row>
    <row r="6062" spans="19:19">
      <c r="S6062" s="109"/>
    </row>
    <row r="6063" spans="19:19">
      <c r="S6063" s="109"/>
    </row>
    <row r="6064" spans="19:19">
      <c r="S6064" s="109"/>
    </row>
    <row r="6065" spans="19:19">
      <c r="S6065" s="109"/>
    </row>
    <row r="6066" spans="19:19">
      <c r="S6066" s="109"/>
    </row>
    <row r="6067" spans="19:19">
      <c r="S6067" s="109"/>
    </row>
    <row r="6068" spans="19:19">
      <c r="S6068" s="109"/>
    </row>
    <row r="6069" spans="19:19">
      <c r="S6069" s="109"/>
    </row>
    <row r="6070" spans="19:19">
      <c r="S6070" s="109"/>
    </row>
    <row r="6071" spans="19:19">
      <c r="S6071" s="109"/>
    </row>
    <row r="6072" spans="19:19">
      <c r="S6072" s="109"/>
    </row>
    <row r="6073" spans="19:19">
      <c r="S6073" s="109"/>
    </row>
    <row r="6074" spans="19:19">
      <c r="S6074" s="109"/>
    </row>
    <row r="6075" spans="19:19">
      <c r="S6075" s="109"/>
    </row>
    <row r="6076" spans="19:19">
      <c r="S6076" s="109"/>
    </row>
    <row r="6077" spans="19:19">
      <c r="S6077" s="109"/>
    </row>
    <row r="6078" spans="19:19">
      <c r="S6078" s="109"/>
    </row>
    <row r="6079" spans="19:19">
      <c r="S6079" s="109"/>
    </row>
    <row r="6080" spans="19:19">
      <c r="S6080" s="109"/>
    </row>
    <row r="6081" spans="19:19">
      <c r="S6081" s="109"/>
    </row>
    <row r="6082" spans="19:19">
      <c r="S6082" s="109"/>
    </row>
    <row r="6083" spans="19:19">
      <c r="S6083" s="109"/>
    </row>
    <row r="6084" spans="19:19">
      <c r="S6084" s="109"/>
    </row>
    <row r="6085" spans="19:19">
      <c r="S6085" s="109"/>
    </row>
    <row r="6086" spans="19:19">
      <c r="S6086" s="109"/>
    </row>
    <row r="6087" spans="19:19">
      <c r="S6087" s="109"/>
    </row>
    <row r="6088" spans="19:19">
      <c r="S6088" s="109"/>
    </row>
    <row r="6089" spans="19:19">
      <c r="S6089" s="109"/>
    </row>
    <row r="6090" spans="19:19">
      <c r="S6090" s="109"/>
    </row>
    <row r="6091" spans="19:19">
      <c r="S6091" s="109"/>
    </row>
    <row r="6092" spans="19:19">
      <c r="S6092" s="109"/>
    </row>
    <row r="6093" spans="19:19">
      <c r="S6093" s="109"/>
    </row>
    <row r="6094" spans="19:19">
      <c r="S6094" s="109"/>
    </row>
    <row r="6095" spans="19:19">
      <c r="S6095" s="109"/>
    </row>
    <row r="6096" spans="19:19">
      <c r="S6096" s="109"/>
    </row>
    <row r="6097" spans="19:19">
      <c r="S6097" s="109"/>
    </row>
    <row r="6098" spans="19:19">
      <c r="S6098" s="109"/>
    </row>
    <row r="6099" spans="19:19">
      <c r="S6099" s="109"/>
    </row>
    <row r="6100" spans="19:19">
      <c r="S6100" s="109"/>
    </row>
    <row r="6101" spans="19:19">
      <c r="S6101" s="109"/>
    </row>
    <row r="6102" spans="19:19">
      <c r="S6102" s="109"/>
    </row>
    <row r="6103" spans="19:19">
      <c r="S6103" s="109"/>
    </row>
    <row r="6104" spans="19:19">
      <c r="S6104" s="109"/>
    </row>
    <row r="6105" spans="19:19">
      <c r="S6105" s="109"/>
    </row>
    <row r="6106" spans="19:19">
      <c r="S6106" s="109"/>
    </row>
    <row r="6107" spans="19:19">
      <c r="S6107" s="109"/>
    </row>
    <row r="6108" spans="19:19">
      <c r="S6108" s="109"/>
    </row>
    <row r="6109" spans="19:19">
      <c r="S6109" s="109"/>
    </row>
    <row r="6110" spans="19:19">
      <c r="S6110" s="109"/>
    </row>
    <row r="6111" spans="19:19">
      <c r="S6111" s="109"/>
    </row>
    <row r="6112" spans="19:19">
      <c r="S6112" s="109"/>
    </row>
    <row r="6113" spans="19:19">
      <c r="S6113" s="109"/>
    </row>
    <row r="6114" spans="19:19">
      <c r="S6114" s="109"/>
    </row>
    <row r="6115" spans="19:19">
      <c r="S6115" s="109"/>
    </row>
    <row r="6116" spans="19:19">
      <c r="S6116" s="109"/>
    </row>
    <row r="6117" spans="19:19">
      <c r="S6117" s="109"/>
    </row>
    <row r="6118" spans="19:19">
      <c r="S6118" s="109"/>
    </row>
    <row r="6119" spans="19:19">
      <c r="S6119" s="109"/>
    </row>
    <row r="6120" spans="19:19">
      <c r="S6120" s="109"/>
    </row>
    <row r="6121" spans="19:19">
      <c r="S6121" s="109"/>
    </row>
    <row r="6122" spans="19:19">
      <c r="S6122" s="109"/>
    </row>
    <row r="6123" spans="19:19">
      <c r="S6123" s="109"/>
    </row>
    <row r="6124" spans="19:19">
      <c r="S6124" s="109"/>
    </row>
    <row r="6125" spans="19:19">
      <c r="S6125" s="109"/>
    </row>
    <row r="6126" spans="19:19">
      <c r="S6126" s="109"/>
    </row>
    <row r="6127" spans="19:19">
      <c r="S6127" s="109"/>
    </row>
    <row r="6128" spans="19:19">
      <c r="S6128" s="109"/>
    </row>
    <row r="6129" spans="19:19">
      <c r="S6129" s="109"/>
    </row>
    <row r="6130" spans="19:19">
      <c r="S6130" s="109"/>
    </row>
    <row r="6131" spans="19:19">
      <c r="S6131" s="109"/>
    </row>
    <row r="6132" spans="19:19">
      <c r="S6132" s="109"/>
    </row>
    <row r="6133" spans="19:19">
      <c r="S6133" s="109"/>
    </row>
    <row r="6134" spans="19:19">
      <c r="S6134" s="109"/>
    </row>
    <row r="6135" spans="19:19">
      <c r="S6135" s="109"/>
    </row>
    <row r="6136" spans="19:19">
      <c r="S6136" s="109"/>
    </row>
    <row r="6137" spans="19:19">
      <c r="S6137" s="109"/>
    </row>
    <row r="6138" spans="19:19">
      <c r="S6138" s="109"/>
    </row>
    <row r="6139" spans="19:19">
      <c r="S6139" s="109"/>
    </row>
    <row r="6140" spans="19:19">
      <c r="S6140" s="109"/>
    </row>
    <row r="6141" spans="19:19">
      <c r="S6141" s="109"/>
    </row>
    <row r="6142" spans="19:19">
      <c r="S6142" s="109"/>
    </row>
    <row r="6143" spans="19:19">
      <c r="S6143" s="109"/>
    </row>
    <row r="6144" spans="19:19">
      <c r="S6144" s="109"/>
    </row>
    <row r="6145" spans="19:19">
      <c r="S6145" s="109"/>
    </row>
    <row r="6146" spans="19:19">
      <c r="S6146" s="109"/>
    </row>
    <row r="6147" spans="19:19">
      <c r="S6147" s="109"/>
    </row>
    <row r="6148" spans="19:19">
      <c r="S6148" s="109"/>
    </row>
    <row r="6149" spans="19:19">
      <c r="S6149" s="109"/>
    </row>
    <row r="6150" spans="19:19">
      <c r="S6150" s="109"/>
    </row>
    <row r="6151" spans="19:19">
      <c r="S6151" s="109"/>
    </row>
    <row r="6152" spans="19:19">
      <c r="S6152" s="109"/>
    </row>
    <row r="6153" spans="19:19">
      <c r="S6153" s="109"/>
    </row>
    <row r="6154" spans="19:19">
      <c r="S6154" s="109"/>
    </row>
    <row r="6155" spans="19:19">
      <c r="S6155" s="109"/>
    </row>
    <row r="6156" spans="19:19">
      <c r="S6156" s="109"/>
    </row>
    <row r="6157" spans="19:19">
      <c r="S6157" s="109"/>
    </row>
    <row r="6158" spans="19:19">
      <c r="S6158" s="109"/>
    </row>
    <row r="6159" spans="19:19">
      <c r="S6159" s="109"/>
    </row>
    <row r="6160" spans="19:19">
      <c r="S6160" s="109"/>
    </row>
    <row r="6161" spans="19:19">
      <c r="S6161" s="109"/>
    </row>
    <row r="6162" spans="19:19">
      <c r="S6162" s="109"/>
    </row>
    <row r="6163" spans="19:19">
      <c r="S6163" s="109"/>
    </row>
    <row r="6164" spans="19:19">
      <c r="S6164" s="109"/>
    </row>
    <row r="6165" spans="19:19">
      <c r="S6165" s="109"/>
    </row>
    <row r="6166" spans="19:19">
      <c r="S6166" s="109"/>
    </row>
    <row r="6167" spans="19:19">
      <c r="S6167" s="109"/>
    </row>
    <row r="6168" spans="19:19">
      <c r="S6168" s="109"/>
    </row>
    <row r="6169" spans="19:19">
      <c r="S6169" s="109"/>
    </row>
    <row r="6170" spans="19:19">
      <c r="S6170" s="109"/>
    </row>
    <row r="6171" spans="19:19">
      <c r="S6171" s="109"/>
    </row>
    <row r="6172" spans="19:19">
      <c r="S6172" s="109"/>
    </row>
    <row r="6173" spans="19:19">
      <c r="S6173" s="109"/>
    </row>
    <row r="6174" spans="19:19">
      <c r="S6174" s="109"/>
    </row>
    <row r="6175" spans="19:19">
      <c r="S6175" s="109"/>
    </row>
    <row r="6176" spans="19:19">
      <c r="S6176" s="109"/>
    </row>
    <row r="6177" spans="19:19">
      <c r="S6177" s="109"/>
    </row>
    <row r="6178" spans="19:19">
      <c r="S6178" s="109"/>
    </row>
    <row r="6179" spans="19:19">
      <c r="S6179" s="109"/>
    </row>
    <row r="6180" spans="19:19">
      <c r="S6180" s="109"/>
    </row>
    <row r="6181" spans="19:19">
      <c r="S6181" s="109"/>
    </row>
    <row r="6182" spans="19:19">
      <c r="S6182" s="109"/>
    </row>
    <row r="6183" spans="19:19">
      <c r="S6183" s="109"/>
    </row>
    <row r="6184" spans="19:19">
      <c r="S6184" s="109"/>
    </row>
    <row r="6185" spans="19:19">
      <c r="S6185" s="109"/>
    </row>
    <row r="6186" spans="19:19">
      <c r="S6186" s="109"/>
    </row>
    <row r="6187" spans="19:19">
      <c r="S6187" s="109"/>
    </row>
    <row r="6188" spans="19:19">
      <c r="S6188" s="109"/>
    </row>
    <row r="6189" spans="19:19">
      <c r="S6189" s="109"/>
    </row>
    <row r="6190" spans="19:19">
      <c r="S6190" s="109"/>
    </row>
    <row r="6191" spans="19:19">
      <c r="S6191" s="109"/>
    </row>
    <row r="6192" spans="19:19">
      <c r="S6192" s="109"/>
    </row>
    <row r="6193" spans="19:19">
      <c r="S6193" s="109"/>
    </row>
    <row r="6194" spans="19:19">
      <c r="S6194" s="109"/>
    </row>
    <row r="6195" spans="19:19">
      <c r="S6195" s="109"/>
    </row>
    <row r="6196" spans="19:19">
      <c r="S6196" s="109"/>
    </row>
    <row r="6197" spans="19:19">
      <c r="S6197" s="109"/>
    </row>
    <row r="6198" spans="19:19">
      <c r="S6198" s="109"/>
    </row>
    <row r="6199" spans="19:19">
      <c r="S6199" s="109"/>
    </row>
    <row r="6200" spans="19:19">
      <c r="S6200" s="109"/>
    </row>
    <row r="6201" spans="19:19">
      <c r="S6201" s="109"/>
    </row>
    <row r="6202" spans="19:19">
      <c r="S6202" s="109"/>
    </row>
    <row r="6203" spans="19:19">
      <c r="S6203" s="109"/>
    </row>
    <row r="6204" spans="19:19">
      <c r="S6204" s="109"/>
    </row>
    <row r="6205" spans="19:19">
      <c r="S6205" s="109"/>
    </row>
    <row r="6206" spans="19:19">
      <c r="S6206" s="109"/>
    </row>
    <row r="6207" spans="19:19">
      <c r="S6207" s="109"/>
    </row>
    <row r="6208" spans="19:19">
      <c r="S6208" s="109"/>
    </row>
    <row r="6209" spans="19:19">
      <c r="S6209" s="109"/>
    </row>
    <row r="6210" spans="19:19">
      <c r="S6210" s="109"/>
    </row>
    <row r="6211" spans="19:19">
      <c r="S6211" s="109"/>
    </row>
    <row r="6212" spans="19:19">
      <c r="S6212" s="109"/>
    </row>
    <row r="6213" spans="19:19">
      <c r="S6213" s="109"/>
    </row>
    <row r="6214" spans="19:19">
      <c r="S6214" s="109"/>
    </row>
    <row r="6215" spans="19:19">
      <c r="S6215" s="109"/>
    </row>
    <row r="6216" spans="19:19">
      <c r="S6216" s="109"/>
    </row>
    <row r="6217" spans="19:19">
      <c r="S6217" s="109"/>
    </row>
    <row r="6218" spans="19:19">
      <c r="S6218" s="109"/>
    </row>
    <row r="6219" spans="19:19">
      <c r="S6219" s="109"/>
    </row>
    <row r="6220" spans="19:19">
      <c r="S6220" s="109"/>
    </row>
    <row r="6221" spans="19:19">
      <c r="S6221" s="109"/>
    </row>
    <row r="6222" spans="19:19">
      <c r="S6222" s="109"/>
    </row>
    <row r="6223" spans="19:19">
      <c r="S6223" s="109"/>
    </row>
    <row r="6224" spans="19:19">
      <c r="S6224" s="109"/>
    </row>
    <row r="6225" spans="19:19">
      <c r="S6225" s="109"/>
    </row>
    <row r="6226" spans="19:19">
      <c r="S6226" s="109"/>
    </row>
    <row r="6227" spans="19:19">
      <c r="S6227" s="109"/>
    </row>
    <row r="6228" spans="19:19">
      <c r="S6228" s="109"/>
    </row>
    <row r="6229" spans="19:19">
      <c r="S6229" s="109"/>
    </row>
    <row r="6230" spans="19:19">
      <c r="S6230" s="109"/>
    </row>
    <row r="6231" spans="19:19">
      <c r="S6231" s="109"/>
    </row>
    <row r="6232" spans="19:19">
      <c r="S6232" s="109"/>
    </row>
    <row r="6233" spans="19:19">
      <c r="S6233" s="109"/>
    </row>
    <row r="6234" spans="19:19">
      <c r="S6234" s="109"/>
    </row>
    <row r="6235" spans="19:19">
      <c r="S6235" s="109"/>
    </row>
    <row r="6236" spans="19:19">
      <c r="S6236" s="109"/>
    </row>
    <row r="6237" spans="19:19">
      <c r="S6237" s="109"/>
    </row>
    <row r="6238" spans="19:19">
      <c r="S6238" s="109"/>
    </row>
    <row r="6239" spans="19:19">
      <c r="S6239" s="109"/>
    </row>
    <row r="6240" spans="19:19">
      <c r="S6240" s="109"/>
    </row>
    <row r="6241" spans="19:19">
      <c r="S6241" s="109"/>
    </row>
    <row r="6242" spans="19:19">
      <c r="S6242" s="109"/>
    </row>
    <row r="6243" spans="19:19">
      <c r="S6243" s="109"/>
    </row>
    <row r="6244" spans="19:19">
      <c r="S6244" s="109"/>
    </row>
    <row r="6245" spans="19:19">
      <c r="S6245" s="109"/>
    </row>
    <row r="6246" spans="19:19">
      <c r="S6246" s="109"/>
    </row>
    <row r="6247" spans="19:19">
      <c r="S6247" s="109"/>
    </row>
    <row r="6248" spans="19:19">
      <c r="S6248" s="109"/>
    </row>
    <row r="6249" spans="19:19">
      <c r="S6249" s="109"/>
    </row>
    <row r="6250" spans="19:19">
      <c r="S6250" s="109"/>
    </row>
    <row r="6251" spans="19:19">
      <c r="S6251" s="109"/>
    </row>
    <row r="6252" spans="19:19">
      <c r="S6252" s="109"/>
    </row>
    <row r="6253" spans="19:19">
      <c r="S6253" s="109"/>
    </row>
    <row r="6254" spans="19:19">
      <c r="S6254" s="109"/>
    </row>
    <row r="6255" spans="19:19">
      <c r="S6255" s="109"/>
    </row>
    <row r="6256" spans="19:19">
      <c r="S6256" s="109"/>
    </row>
    <row r="6257" spans="19:19">
      <c r="S6257" s="109"/>
    </row>
    <row r="6258" spans="19:19">
      <c r="S6258" s="109"/>
    </row>
    <row r="6259" spans="19:19">
      <c r="S6259" s="109"/>
    </row>
    <row r="6260" spans="19:19">
      <c r="S6260" s="109"/>
    </row>
    <row r="6261" spans="19:19">
      <c r="S6261" s="109"/>
    </row>
    <row r="6262" spans="19:19">
      <c r="S6262" s="109"/>
    </row>
    <row r="6263" spans="19:19">
      <c r="S6263" s="109"/>
    </row>
    <row r="6264" spans="19:19">
      <c r="S6264" s="109"/>
    </row>
    <row r="6265" spans="19:19">
      <c r="S6265" s="109"/>
    </row>
    <row r="6266" spans="19:19">
      <c r="S6266" s="109"/>
    </row>
    <row r="6267" spans="19:19">
      <c r="S6267" s="109"/>
    </row>
    <row r="6268" spans="19:19">
      <c r="S6268" s="109"/>
    </row>
    <row r="6269" spans="19:19">
      <c r="S6269" s="109"/>
    </row>
    <row r="6270" spans="19:19">
      <c r="S6270" s="109"/>
    </row>
    <row r="6271" spans="19:19">
      <c r="S6271" s="109"/>
    </row>
    <row r="6272" spans="19:19">
      <c r="S6272" s="109"/>
    </row>
    <row r="6273" spans="19:19">
      <c r="S6273" s="109"/>
    </row>
    <row r="6274" spans="19:19">
      <c r="S6274" s="109"/>
    </row>
    <row r="6275" spans="19:19">
      <c r="S6275" s="109"/>
    </row>
    <row r="6276" spans="19:19">
      <c r="S6276" s="109"/>
    </row>
    <row r="6277" spans="19:19">
      <c r="S6277" s="109"/>
    </row>
    <row r="6278" spans="19:19">
      <c r="S6278" s="109"/>
    </row>
    <row r="6279" spans="19:19">
      <c r="S6279" s="109"/>
    </row>
    <row r="6280" spans="19:19">
      <c r="S6280" s="109"/>
    </row>
    <row r="6281" spans="19:19">
      <c r="S6281" s="109"/>
    </row>
    <row r="6282" spans="19:19">
      <c r="S6282" s="109"/>
    </row>
    <row r="6283" spans="19:19">
      <c r="S6283" s="109"/>
    </row>
    <row r="6284" spans="19:19">
      <c r="S6284" s="109"/>
    </row>
    <row r="6285" spans="19:19">
      <c r="S6285" s="109"/>
    </row>
    <row r="6286" spans="19:19">
      <c r="S6286" s="109"/>
    </row>
    <row r="6287" spans="19:19">
      <c r="S6287" s="109"/>
    </row>
    <row r="6288" spans="19:19">
      <c r="S6288" s="109"/>
    </row>
    <row r="6289" spans="19:19">
      <c r="S6289" s="109"/>
    </row>
    <row r="6290" spans="19:19">
      <c r="S6290" s="109"/>
    </row>
    <row r="6291" spans="19:19">
      <c r="S6291" s="109"/>
    </row>
    <row r="6292" spans="19:19">
      <c r="S6292" s="109"/>
    </row>
    <row r="6293" spans="19:19">
      <c r="S6293" s="109"/>
    </row>
    <row r="6294" spans="19:19">
      <c r="S6294" s="109"/>
    </row>
    <row r="6295" spans="19:19">
      <c r="S6295" s="109"/>
    </row>
    <row r="6296" spans="19:19">
      <c r="S6296" s="109"/>
    </row>
    <row r="6297" spans="19:19">
      <c r="S6297" s="109"/>
    </row>
    <row r="6298" spans="19:19">
      <c r="S6298" s="109"/>
    </row>
    <row r="6299" spans="19:19">
      <c r="S6299" s="109"/>
    </row>
    <row r="6300" spans="19:19">
      <c r="S6300" s="109"/>
    </row>
    <row r="6301" spans="19:19">
      <c r="S6301" s="109"/>
    </row>
    <row r="6302" spans="19:19">
      <c r="S6302" s="109"/>
    </row>
    <row r="6303" spans="19:19">
      <c r="S6303" s="109"/>
    </row>
    <row r="6304" spans="19:19">
      <c r="S6304" s="109"/>
    </row>
    <row r="6305" spans="19:19">
      <c r="S6305" s="109"/>
    </row>
    <row r="6306" spans="19:19">
      <c r="S6306" s="109"/>
    </row>
    <row r="6307" spans="19:19">
      <c r="S6307" s="109"/>
    </row>
    <row r="6308" spans="19:19">
      <c r="S6308" s="109"/>
    </row>
    <row r="6309" spans="19:19">
      <c r="S6309" s="109"/>
    </row>
    <row r="6310" spans="19:19">
      <c r="S6310" s="109"/>
    </row>
    <row r="6311" spans="19:19">
      <c r="S6311" s="109"/>
    </row>
    <row r="6312" spans="19:19">
      <c r="S6312" s="109"/>
    </row>
    <row r="6313" spans="19:19">
      <c r="S6313" s="109"/>
    </row>
    <row r="6314" spans="19:19">
      <c r="S6314" s="109"/>
    </row>
    <row r="6315" spans="19:19">
      <c r="S6315" s="109"/>
    </row>
    <row r="6316" spans="19:19">
      <c r="S6316" s="109"/>
    </row>
    <row r="6317" spans="19:19">
      <c r="S6317" s="109"/>
    </row>
    <row r="6318" spans="19:19">
      <c r="S6318" s="109"/>
    </row>
    <row r="6319" spans="19:19">
      <c r="S6319" s="109"/>
    </row>
    <row r="6320" spans="19:19">
      <c r="S6320" s="109"/>
    </row>
    <row r="6321" spans="19:19">
      <c r="S6321" s="109"/>
    </row>
    <row r="6322" spans="19:19">
      <c r="S6322" s="109"/>
    </row>
    <row r="6323" spans="19:19">
      <c r="S6323" s="109"/>
    </row>
    <row r="6324" spans="19:19">
      <c r="S6324" s="109"/>
    </row>
    <row r="6325" spans="19:19">
      <c r="S6325" s="109"/>
    </row>
    <row r="6326" spans="19:19">
      <c r="S6326" s="109"/>
    </row>
    <row r="6327" spans="19:19">
      <c r="S6327" s="109"/>
    </row>
    <row r="6328" spans="19:19">
      <c r="S6328" s="109"/>
    </row>
    <row r="6329" spans="19:19">
      <c r="S6329" s="109"/>
    </row>
    <row r="6330" spans="19:19">
      <c r="S6330" s="109"/>
    </row>
    <row r="6331" spans="19:19">
      <c r="S6331" s="109"/>
    </row>
    <row r="6332" spans="19:19">
      <c r="S6332" s="109"/>
    </row>
    <row r="6333" spans="19:19">
      <c r="S6333" s="109"/>
    </row>
    <row r="6334" spans="19:19">
      <c r="S6334" s="109"/>
    </row>
    <row r="6335" spans="19:19">
      <c r="S6335" s="109"/>
    </row>
    <row r="6336" spans="19:19">
      <c r="S6336" s="109"/>
    </row>
    <row r="6337" spans="19:19">
      <c r="S6337" s="109"/>
    </row>
    <row r="6338" spans="19:19">
      <c r="S6338" s="109"/>
    </row>
    <row r="6339" spans="19:19">
      <c r="S6339" s="109"/>
    </row>
    <row r="6340" spans="19:19">
      <c r="S6340" s="109"/>
    </row>
    <row r="6341" spans="19:19">
      <c r="S6341" s="109"/>
    </row>
    <row r="6342" spans="19:19">
      <c r="S6342" s="109"/>
    </row>
    <row r="6343" spans="19:19">
      <c r="S6343" s="109"/>
    </row>
    <row r="6344" spans="19:19">
      <c r="S6344" s="109"/>
    </row>
    <row r="6345" spans="19:19">
      <c r="S6345" s="109"/>
    </row>
    <row r="6346" spans="19:19">
      <c r="S6346" s="109"/>
    </row>
    <row r="6347" spans="19:19">
      <c r="S6347" s="109"/>
    </row>
    <row r="6348" spans="19:19">
      <c r="S6348" s="109"/>
    </row>
    <row r="6349" spans="19:19">
      <c r="S6349" s="109"/>
    </row>
    <row r="6350" spans="19:19">
      <c r="S6350" s="109"/>
    </row>
    <row r="6351" spans="19:19">
      <c r="S6351" s="109"/>
    </row>
    <row r="6352" spans="19:19">
      <c r="S6352" s="109"/>
    </row>
    <row r="6353" spans="19:19">
      <c r="S6353" s="109"/>
    </row>
    <row r="6354" spans="19:19">
      <c r="S6354" s="109"/>
    </row>
    <row r="6355" spans="19:19">
      <c r="S6355" s="109"/>
    </row>
    <row r="6356" spans="19:19">
      <c r="S6356" s="109"/>
    </row>
    <row r="6357" spans="19:19">
      <c r="S6357" s="109"/>
    </row>
    <row r="6358" spans="19:19">
      <c r="S6358" s="109"/>
    </row>
    <row r="6359" spans="19:19">
      <c r="S6359" s="109"/>
    </row>
    <row r="6360" spans="19:19">
      <c r="S6360" s="109"/>
    </row>
    <row r="6361" spans="19:19">
      <c r="S6361" s="109"/>
    </row>
    <row r="6362" spans="19:19">
      <c r="S6362" s="109"/>
    </row>
    <row r="6363" spans="19:19">
      <c r="S6363" s="109"/>
    </row>
    <row r="6364" spans="19:19">
      <c r="S6364" s="109"/>
    </row>
    <row r="6365" spans="19:19">
      <c r="S6365" s="109"/>
    </row>
    <row r="6366" spans="19:19">
      <c r="S6366" s="109"/>
    </row>
    <row r="6367" spans="19:19">
      <c r="S6367" s="109"/>
    </row>
    <row r="6368" spans="19:19">
      <c r="S6368" s="109"/>
    </row>
    <row r="6369" spans="19:19">
      <c r="S6369" s="109"/>
    </row>
    <row r="6370" spans="19:19">
      <c r="S6370" s="109"/>
    </row>
    <row r="6371" spans="19:19">
      <c r="S6371" s="109"/>
    </row>
    <row r="6372" spans="19:19">
      <c r="S6372" s="109"/>
    </row>
    <row r="6373" spans="19:19">
      <c r="S6373" s="109"/>
    </row>
    <row r="6374" spans="19:19">
      <c r="S6374" s="109"/>
    </row>
    <row r="6375" spans="19:19">
      <c r="S6375" s="109"/>
    </row>
    <row r="6376" spans="19:19">
      <c r="S6376" s="109"/>
    </row>
    <row r="6377" spans="19:19">
      <c r="S6377" s="109"/>
    </row>
    <row r="6378" spans="19:19">
      <c r="S6378" s="109"/>
    </row>
    <row r="6379" spans="19:19">
      <c r="S6379" s="109"/>
    </row>
    <row r="6380" spans="19:19">
      <c r="S6380" s="109"/>
    </row>
    <row r="6381" spans="19:19">
      <c r="S6381" s="109"/>
    </row>
    <row r="6382" spans="19:19">
      <c r="S6382" s="109"/>
    </row>
    <row r="6383" spans="19:19">
      <c r="S6383" s="109"/>
    </row>
    <row r="6384" spans="19:19">
      <c r="S6384" s="109"/>
    </row>
    <row r="6385" spans="19:19">
      <c r="S6385" s="109"/>
    </row>
    <row r="6386" spans="19:19">
      <c r="S6386" s="109"/>
    </row>
    <row r="6387" spans="19:19">
      <c r="S6387" s="109"/>
    </row>
    <row r="6388" spans="19:19">
      <c r="S6388" s="109"/>
    </row>
    <row r="6389" spans="19:19">
      <c r="S6389" s="109"/>
    </row>
    <row r="6390" spans="19:19">
      <c r="S6390" s="109"/>
    </row>
    <row r="6391" spans="19:19">
      <c r="S6391" s="109"/>
    </row>
    <row r="6392" spans="19:19">
      <c r="S6392" s="109"/>
    </row>
    <row r="6393" spans="19:19">
      <c r="S6393" s="109"/>
    </row>
    <row r="6394" spans="19:19">
      <c r="S6394" s="109"/>
    </row>
    <row r="6395" spans="19:19">
      <c r="S6395" s="109"/>
    </row>
    <row r="6396" spans="19:19">
      <c r="S6396" s="109"/>
    </row>
    <row r="6397" spans="19:19">
      <c r="S6397" s="109"/>
    </row>
    <row r="6398" spans="19:19">
      <c r="S6398" s="109"/>
    </row>
    <row r="6399" spans="19:19">
      <c r="S6399" s="109"/>
    </row>
    <row r="6400" spans="19:19">
      <c r="S6400" s="109"/>
    </row>
    <row r="6401" spans="19:19">
      <c r="S6401" s="109"/>
    </row>
    <row r="6402" spans="19:19">
      <c r="S6402" s="109"/>
    </row>
    <row r="6403" spans="19:19">
      <c r="S6403" s="109"/>
    </row>
    <row r="6404" spans="19:19">
      <c r="S6404" s="109"/>
    </row>
    <row r="6405" spans="19:19">
      <c r="S6405" s="109"/>
    </row>
    <row r="6406" spans="19:19">
      <c r="S6406" s="109"/>
    </row>
    <row r="6407" spans="19:19">
      <c r="S6407" s="109"/>
    </row>
    <row r="6408" spans="19:19">
      <c r="S6408" s="109"/>
    </row>
    <row r="6409" spans="19:19">
      <c r="S6409" s="109"/>
    </row>
    <row r="6410" spans="19:19">
      <c r="S6410" s="109"/>
    </row>
    <row r="6411" spans="19:19">
      <c r="S6411" s="109"/>
    </row>
    <row r="6412" spans="19:19">
      <c r="S6412" s="109"/>
    </row>
    <row r="6413" spans="19:19">
      <c r="S6413" s="109"/>
    </row>
    <row r="6414" spans="19:19">
      <c r="S6414" s="109"/>
    </row>
    <row r="6415" spans="19:19">
      <c r="S6415" s="109"/>
    </row>
    <row r="6416" spans="19:19">
      <c r="S6416" s="109"/>
    </row>
    <row r="6417" spans="19:19">
      <c r="S6417" s="109"/>
    </row>
    <row r="6418" spans="19:19">
      <c r="S6418" s="109"/>
    </row>
    <row r="6419" spans="19:19">
      <c r="S6419" s="109"/>
    </row>
    <row r="6420" spans="19:19">
      <c r="S6420" s="109"/>
    </row>
    <row r="6421" spans="19:19">
      <c r="S6421" s="109"/>
    </row>
    <row r="6422" spans="19:19">
      <c r="S6422" s="109"/>
    </row>
    <row r="6423" spans="19:19">
      <c r="S6423" s="109"/>
    </row>
    <row r="6424" spans="19:19">
      <c r="S6424" s="109"/>
    </row>
    <row r="6425" spans="19:19">
      <c r="S6425" s="109"/>
    </row>
    <row r="6426" spans="19:19">
      <c r="S6426" s="109"/>
    </row>
    <row r="6427" spans="19:19">
      <c r="S6427" s="109"/>
    </row>
    <row r="6428" spans="19:19">
      <c r="S6428" s="109"/>
    </row>
    <row r="6429" spans="19:19">
      <c r="S6429" s="109"/>
    </row>
    <row r="6430" spans="19:19">
      <c r="S6430" s="109"/>
    </row>
    <row r="6431" spans="19:19">
      <c r="S6431" s="109"/>
    </row>
    <row r="6432" spans="19:19">
      <c r="S6432" s="109"/>
    </row>
    <row r="6433" spans="19:19">
      <c r="S6433" s="109"/>
    </row>
    <row r="6434" spans="19:19">
      <c r="S6434" s="109"/>
    </row>
    <row r="6435" spans="19:19">
      <c r="S6435" s="109"/>
    </row>
    <row r="6436" spans="19:19">
      <c r="S6436" s="109"/>
    </row>
    <row r="6437" spans="19:19">
      <c r="S6437" s="109"/>
    </row>
    <row r="6438" spans="19:19">
      <c r="S6438" s="109"/>
    </row>
    <row r="6439" spans="19:19">
      <c r="S6439" s="109"/>
    </row>
    <row r="6440" spans="19:19">
      <c r="S6440" s="109"/>
    </row>
    <row r="6441" spans="19:19">
      <c r="S6441" s="109"/>
    </row>
    <row r="6442" spans="19:19">
      <c r="S6442" s="109"/>
    </row>
    <row r="6443" spans="19:19">
      <c r="S6443" s="109"/>
    </row>
    <row r="6444" spans="19:19">
      <c r="S6444" s="109"/>
    </row>
    <row r="6445" spans="19:19">
      <c r="S6445" s="109"/>
    </row>
    <row r="6446" spans="19:19">
      <c r="S6446" s="109"/>
    </row>
    <row r="6447" spans="19:19">
      <c r="S6447" s="109"/>
    </row>
    <row r="6448" spans="19:19">
      <c r="S6448" s="109"/>
    </row>
    <row r="6449" spans="19:19">
      <c r="S6449" s="109"/>
    </row>
    <row r="6450" spans="19:19">
      <c r="S6450" s="109"/>
    </row>
    <row r="6451" spans="19:19">
      <c r="S6451" s="109"/>
    </row>
    <row r="6452" spans="19:19">
      <c r="S6452" s="109"/>
    </row>
    <row r="6453" spans="19:19">
      <c r="S6453" s="109"/>
    </row>
    <row r="6454" spans="19:19">
      <c r="S6454" s="109"/>
    </row>
    <row r="6455" spans="19:19">
      <c r="S6455" s="109"/>
    </row>
    <row r="6456" spans="19:19">
      <c r="S6456" s="109"/>
    </row>
    <row r="6457" spans="19:19">
      <c r="S6457" s="109"/>
    </row>
    <row r="6458" spans="19:19">
      <c r="S6458" s="109"/>
    </row>
    <row r="6459" spans="19:19">
      <c r="S6459" s="109"/>
    </row>
    <row r="6460" spans="19:19">
      <c r="S6460" s="109"/>
    </row>
    <row r="6461" spans="19:19">
      <c r="S6461" s="109"/>
    </row>
    <row r="6462" spans="19:19">
      <c r="S6462" s="109"/>
    </row>
    <row r="6463" spans="19:19">
      <c r="S6463" s="109"/>
    </row>
    <row r="6464" spans="19:19">
      <c r="S6464" s="109"/>
    </row>
    <row r="6465" spans="19:19">
      <c r="S6465" s="109"/>
    </row>
    <row r="6466" spans="19:19">
      <c r="S6466" s="109"/>
    </row>
    <row r="6467" spans="19:19">
      <c r="S6467" s="109"/>
    </row>
    <row r="6468" spans="19:19">
      <c r="S6468" s="109"/>
    </row>
    <row r="6469" spans="19:19">
      <c r="S6469" s="109"/>
    </row>
    <row r="6470" spans="19:19">
      <c r="S6470" s="109"/>
    </row>
    <row r="6471" spans="19:19">
      <c r="S6471" s="109"/>
    </row>
    <row r="6472" spans="19:19">
      <c r="S6472" s="109"/>
    </row>
    <row r="6473" spans="19:19">
      <c r="S6473" s="109"/>
    </row>
    <row r="6474" spans="19:19">
      <c r="S6474" s="109"/>
    </row>
    <row r="6475" spans="19:19">
      <c r="S6475" s="109"/>
    </row>
    <row r="6476" spans="19:19">
      <c r="S6476" s="109"/>
    </row>
    <row r="6477" spans="19:19">
      <c r="S6477" s="109"/>
    </row>
    <row r="6478" spans="19:19">
      <c r="S6478" s="109"/>
    </row>
    <row r="6479" spans="19:19">
      <c r="S6479" s="109"/>
    </row>
    <row r="6480" spans="19:19">
      <c r="S6480" s="109"/>
    </row>
    <row r="6481" spans="19:19">
      <c r="S6481" s="109"/>
    </row>
    <row r="6482" spans="19:19">
      <c r="S6482" s="109"/>
    </row>
    <row r="6483" spans="19:19">
      <c r="S6483" s="109"/>
    </row>
    <row r="6484" spans="19:19">
      <c r="S6484" s="109"/>
    </row>
    <row r="6485" spans="19:19">
      <c r="S6485" s="109"/>
    </row>
    <row r="6486" spans="19:19">
      <c r="S6486" s="109"/>
    </row>
    <row r="6487" spans="19:19">
      <c r="S6487" s="109"/>
    </row>
    <row r="6488" spans="19:19">
      <c r="S6488" s="109"/>
    </row>
    <row r="6489" spans="19:19">
      <c r="S6489" s="109"/>
    </row>
    <row r="6490" spans="19:19">
      <c r="S6490" s="109"/>
    </row>
    <row r="6491" spans="19:19">
      <c r="S6491" s="109"/>
    </row>
    <row r="6492" spans="19:19">
      <c r="S6492" s="109"/>
    </row>
    <row r="6493" spans="19:19">
      <c r="S6493" s="109"/>
    </row>
    <row r="6494" spans="19:19">
      <c r="S6494" s="109"/>
    </row>
    <row r="6495" spans="19:19">
      <c r="S6495" s="109"/>
    </row>
    <row r="6496" spans="19:19">
      <c r="S6496" s="109"/>
    </row>
    <row r="6497" spans="19:19">
      <c r="S6497" s="109"/>
    </row>
    <row r="6498" spans="19:19">
      <c r="S6498" s="109"/>
    </row>
    <row r="6499" spans="19:19">
      <c r="S6499" s="109"/>
    </row>
    <row r="6500" spans="19:19">
      <c r="S6500" s="109"/>
    </row>
    <row r="6501" spans="19:19">
      <c r="S6501" s="109"/>
    </row>
    <row r="6502" spans="19:19">
      <c r="S6502" s="109"/>
    </row>
    <row r="6503" spans="19:19">
      <c r="S6503" s="109"/>
    </row>
    <row r="6504" spans="19:19">
      <c r="S6504" s="109"/>
    </row>
    <row r="6505" spans="19:19">
      <c r="S6505" s="109"/>
    </row>
    <row r="6506" spans="19:19">
      <c r="S6506" s="109"/>
    </row>
    <row r="6507" spans="19:19">
      <c r="S6507" s="109"/>
    </row>
    <row r="6508" spans="19:19">
      <c r="S6508" s="109"/>
    </row>
    <row r="6509" spans="19:19">
      <c r="S6509" s="109"/>
    </row>
    <row r="6510" spans="19:19">
      <c r="S6510" s="109"/>
    </row>
    <row r="6511" spans="19:19">
      <c r="S6511" s="109"/>
    </row>
    <row r="6512" spans="19:19">
      <c r="S6512" s="109"/>
    </row>
    <row r="6513" spans="19:19">
      <c r="S6513" s="109"/>
    </row>
    <row r="6514" spans="19:19">
      <c r="S6514" s="109"/>
    </row>
    <row r="6515" spans="19:19">
      <c r="S6515" s="109"/>
    </row>
    <row r="6516" spans="19:19">
      <c r="S6516" s="109"/>
    </row>
    <row r="6517" spans="19:19">
      <c r="S6517" s="109"/>
    </row>
    <row r="6518" spans="19:19">
      <c r="S6518" s="109"/>
    </row>
    <row r="6519" spans="19:19">
      <c r="S6519" s="109"/>
    </row>
    <row r="6520" spans="19:19">
      <c r="S6520" s="109"/>
    </row>
    <row r="6521" spans="19:19">
      <c r="S6521" s="109"/>
    </row>
    <row r="6522" spans="19:19">
      <c r="S6522" s="109"/>
    </row>
    <row r="6523" spans="19:19">
      <c r="S6523" s="109"/>
    </row>
    <row r="6524" spans="19:19">
      <c r="S6524" s="109"/>
    </row>
    <row r="6525" spans="19:19">
      <c r="S6525" s="109"/>
    </row>
    <row r="6526" spans="19:19">
      <c r="S6526" s="109"/>
    </row>
    <row r="6527" spans="19:19">
      <c r="S6527" s="109"/>
    </row>
    <row r="6528" spans="19:19">
      <c r="S6528" s="109"/>
    </row>
    <row r="6529" spans="19:19">
      <c r="S6529" s="109"/>
    </row>
    <row r="6530" spans="19:19">
      <c r="S6530" s="109"/>
    </row>
    <row r="6531" spans="19:19">
      <c r="S6531" s="109"/>
    </row>
    <row r="6532" spans="19:19">
      <c r="S6532" s="109"/>
    </row>
    <row r="6533" spans="19:19">
      <c r="S6533" s="109"/>
    </row>
    <row r="6534" spans="19:19">
      <c r="S6534" s="109"/>
    </row>
    <row r="6535" spans="19:19">
      <c r="S6535" s="109"/>
    </row>
    <row r="6536" spans="19:19">
      <c r="S6536" s="109"/>
    </row>
    <row r="6537" spans="19:19">
      <c r="S6537" s="109"/>
    </row>
    <row r="6538" spans="19:19">
      <c r="S6538" s="109"/>
    </row>
    <row r="6539" spans="19:19">
      <c r="S6539" s="109"/>
    </row>
    <row r="6540" spans="19:19">
      <c r="S6540" s="109"/>
    </row>
    <row r="6541" spans="19:19">
      <c r="S6541" s="109"/>
    </row>
    <row r="6542" spans="19:19">
      <c r="S6542" s="109"/>
    </row>
    <row r="6543" spans="19:19">
      <c r="S6543" s="109"/>
    </row>
    <row r="6544" spans="19:19">
      <c r="S6544" s="109"/>
    </row>
    <row r="6545" spans="19:19">
      <c r="S6545" s="109"/>
    </row>
    <row r="6546" spans="19:19">
      <c r="S6546" s="109"/>
    </row>
    <row r="6547" spans="19:19">
      <c r="S6547" s="109"/>
    </row>
    <row r="6548" spans="19:19">
      <c r="S6548" s="109"/>
    </row>
    <row r="6549" spans="19:19">
      <c r="S6549" s="109"/>
    </row>
    <row r="6550" spans="19:19">
      <c r="S6550" s="109"/>
    </row>
    <row r="6551" spans="19:19">
      <c r="S6551" s="109"/>
    </row>
    <row r="6552" spans="19:19">
      <c r="S6552" s="109"/>
    </row>
    <row r="6553" spans="19:19">
      <c r="S6553" s="109"/>
    </row>
    <row r="6554" spans="19:19">
      <c r="S6554" s="109"/>
    </row>
    <row r="6555" spans="19:19">
      <c r="S6555" s="109"/>
    </row>
    <row r="6556" spans="19:19">
      <c r="S6556" s="109"/>
    </row>
    <row r="6557" spans="19:19">
      <c r="S6557" s="109"/>
    </row>
    <row r="6558" spans="19:19">
      <c r="S6558" s="109"/>
    </row>
    <row r="6559" spans="19:19">
      <c r="S6559" s="109"/>
    </row>
    <row r="6560" spans="19:19">
      <c r="S6560" s="109"/>
    </row>
    <row r="6561" spans="19:19">
      <c r="S6561" s="109"/>
    </row>
    <row r="6562" spans="19:19">
      <c r="S6562" s="109"/>
    </row>
    <row r="6563" spans="19:19">
      <c r="S6563" s="109"/>
    </row>
    <row r="6564" spans="19:19">
      <c r="S6564" s="109"/>
    </row>
    <row r="6565" spans="19:19">
      <c r="S6565" s="109"/>
    </row>
    <row r="6566" spans="19:19">
      <c r="S6566" s="109"/>
    </row>
    <row r="6567" spans="19:19">
      <c r="S6567" s="109"/>
    </row>
    <row r="6568" spans="19:19">
      <c r="S6568" s="109"/>
    </row>
    <row r="6569" spans="19:19">
      <c r="S6569" s="109"/>
    </row>
    <row r="6570" spans="19:19">
      <c r="S6570" s="109"/>
    </row>
    <row r="6571" spans="19:19">
      <c r="S6571" s="109"/>
    </row>
    <row r="6572" spans="19:19">
      <c r="S6572" s="109"/>
    </row>
    <row r="6573" spans="19:19">
      <c r="S6573" s="109"/>
    </row>
    <row r="6574" spans="19:19">
      <c r="S6574" s="109"/>
    </row>
    <row r="6575" spans="19:19">
      <c r="S6575" s="109"/>
    </row>
    <row r="6576" spans="19:19">
      <c r="S6576" s="109"/>
    </row>
    <row r="6577" spans="19:19">
      <c r="S6577" s="109"/>
    </row>
    <row r="6578" spans="19:19">
      <c r="S6578" s="109"/>
    </row>
    <row r="6579" spans="19:19">
      <c r="S6579" s="109"/>
    </row>
    <row r="6580" spans="19:19">
      <c r="S6580" s="109"/>
    </row>
    <row r="6581" spans="19:19">
      <c r="S6581" s="109"/>
    </row>
    <row r="6582" spans="19:19">
      <c r="S6582" s="109"/>
    </row>
    <row r="6583" spans="19:19">
      <c r="S6583" s="109"/>
    </row>
    <row r="6584" spans="19:19">
      <c r="S6584" s="109"/>
    </row>
    <row r="6585" spans="19:19">
      <c r="S6585" s="109"/>
    </row>
    <row r="6586" spans="19:19">
      <c r="S6586" s="109"/>
    </row>
    <row r="6587" spans="19:19">
      <c r="S6587" s="109"/>
    </row>
    <row r="6588" spans="19:19">
      <c r="S6588" s="109"/>
    </row>
    <row r="6589" spans="19:19">
      <c r="S6589" s="109"/>
    </row>
    <row r="6590" spans="19:19">
      <c r="S6590" s="109"/>
    </row>
    <row r="6591" spans="19:19">
      <c r="S6591" s="109"/>
    </row>
    <row r="6592" spans="19:19">
      <c r="S6592" s="109"/>
    </row>
    <row r="6593" spans="19:19">
      <c r="S6593" s="109"/>
    </row>
    <row r="6594" spans="19:19">
      <c r="S6594" s="109"/>
    </row>
    <row r="6595" spans="19:19">
      <c r="S6595" s="109"/>
    </row>
    <row r="6596" spans="19:19">
      <c r="S6596" s="109"/>
    </row>
    <row r="6597" spans="19:19">
      <c r="S6597" s="109"/>
    </row>
    <row r="6598" spans="19:19">
      <c r="S6598" s="109"/>
    </row>
    <row r="6599" spans="19:19">
      <c r="S6599" s="109"/>
    </row>
    <row r="6600" spans="19:19">
      <c r="S6600" s="109"/>
    </row>
    <row r="6601" spans="19:19">
      <c r="S6601" s="109"/>
    </row>
    <row r="6602" spans="19:19">
      <c r="S6602" s="109"/>
    </row>
    <row r="6603" spans="19:19">
      <c r="S6603" s="109"/>
    </row>
    <row r="6604" spans="19:19">
      <c r="S6604" s="109"/>
    </row>
    <row r="6605" spans="19:19">
      <c r="S6605" s="109"/>
    </row>
    <row r="6606" spans="19:19">
      <c r="S6606" s="109"/>
    </row>
    <row r="6607" spans="19:19">
      <c r="S6607" s="109"/>
    </row>
    <row r="6608" spans="19:19">
      <c r="S6608" s="109"/>
    </row>
    <row r="6609" spans="19:19">
      <c r="S6609" s="109"/>
    </row>
    <row r="6610" spans="19:19">
      <c r="S6610" s="109"/>
    </row>
    <row r="6611" spans="19:19">
      <c r="S6611" s="109"/>
    </row>
    <row r="6612" spans="19:19">
      <c r="S6612" s="109"/>
    </row>
    <row r="6613" spans="19:19">
      <c r="S6613" s="109"/>
    </row>
    <row r="6614" spans="19:19">
      <c r="S6614" s="109"/>
    </row>
    <row r="6615" spans="19:19">
      <c r="S6615" s="109"/>
    </row>
    <row r="6616" spans="19:19">
      <c r="S6616" s="109"/>
    </row>
    <row r="6617" spans="19:19">
      <c r="S6617" s="109"/>
    </row>
    <row r="6618" spans="19:19">
      <c r="S6618" s="109"/>
    </row>
    <row r="6619" spans="19:19">
      <c r="S6619" s="109"/>
    </row>
    <row r="6620" spans="19:19">
      <c r="S6620" s="109"/>
    </row>
    <row r="6621" spans="19:19">
      <c r="S6621" s="109"/>
    </row>
    <row r="6622" spans="19:19">
      <c r="S6622" s="109"/>
    </row>
    <row r="6623" spans="19:19">
      <c r="S6623" s="109"/>
    </row>
    <row r="6624" spans="19:19">
      <c r="S6624" s="109"/>
    </row>
    <row r="6625" spans="19:19">
      <c r="S6625" s="109"/>
    </row>
    <row r="6626" spans="19:19">
      <c r="S6626" s="109"/>
    </row>
    <row r="6627" spans="19:19">
      <c r="S6627" s="109"/>
    </row>
    <row r="6628" spans="19:19">
      <c r="S6628" s="109"/>
    </row>
    <row r="6629" spans="19:19">
      <c r="S6629" s="109"/>
    </row>
    <row r="6630" spans="19:19">
      <c r="S6630" s="109"/>
    </row>
    <row r="6631" spans="19:19">
      <c r="S6631" s="109"/>
    </row>
    <row r="6632" spans="19:19">
      <c r="S6632" s="109"/>
    </row>
    <row r="6633" spans="19:19">
      <c r="S6633" s="109"/>
    </row>
    <row r="6634" spans="19:19">
      <c r="S6634" s="109"/>
    </row>
    <row r="6635" spans="19:19">
      <c r="S6635" s="109"/>
    </row>
    <row r="6636" spans="19:19">
      <c r="S6636" s="109"/>
    </row>
    <row r="6637" spans="19:19">
      <c r="S6637" s="109"/>
    </row>
    <row r="6638" spans="19:19">
      <c r="S6638" s="109"/>
    </row>
    <row r="6639" spans="19:19">
      <c r="S6639" s="109"/>
    </row>
    <row r="6640" spans="19:19">
      <c r="S6640" s="109"/>
    </row>
    <row r="6641" spans="19:19">
      <c r="S6641" s="109"/>
    </row>
    <row r="6642" spans="19:19">
      <c r="S6642" s="109"/>
    </row>
    <row r="6643" spans="19:19">
      <c r="S6643" s="109"/>
    </row>
    <row r="6644" spans="19:19">
      <c r="S6644" s="109"/>
    </row>
    <row r="6645" spans="19:19">
      <c r="S6645" s="109"/>
    </row>
    <row r="6646" spans="19:19">
      <c r="S6646" s="109"/>
    </row>
    <row r="6647" spans="19:19">
      <c r="S6647" s="109"/>
    </row>
    <row r="6648" spans="19:19">
      <c r="S6648" s="109"/>
    </row>
    <row r="6649" spans="19:19">
      <c r="S6649" s="109"/>
    </row>
    <row r="6650" spans="19:19">
      <c r="S6650" s="109"/>
    </row>
    <row r="6651" spans="19:19">
      <c r="S6651" s="109"/>
    </row>
    <row r="6652" spans="19:19">
      <c r="S6652" s="109"/>
    </row>
    <row r="6653" spans="19:19">
      <c r="S6653" s="109"/>
    </row>
    <row r="6654" spans="19:19">
      <c r="S6654" s="109"/>
    </row>
    <row r="6655" spans="19:19">
      <c r="S6655" s="109"/>
    </row>
    <row r="6656" spans="19:19">
      <c r="S6656" s="109"/>
    </row>
    <row r="6657" spans="19:19">
      <c r="S6657" s="109"/>
    </row>
    <row r="6658" spans="19:19">
      <c r="S6658" s="109"/>
    </row>
    <row r="6659" spans="19:19">
      <c r="S6659" s="109"/>
    </row>
    <row r="6660" spans="19:19">
      <c r="S6660" s="109"/>
    </row>
    <row r="6661" spans="19:19">
      <c r="S6661" s="109"/>
    </row>
    <row r="6662" spans="19:19">
      <c r="S6662" s="109"/>
    </row>
    <row r="6663" spans="19:19">
      <c r="S6663" s="109"/>
    </row>
    <row r="6664" spans="19:19">
      <c r="S6664" s="109"/>
    </row>
    <row r="6665" spans="19:19">
      <c r="S6665" s="109"/>
    </row>
    <row r="6666" spans="19:19">
      <c r="S6666" s="109"/>
    </row>
    <row r="6667" spans="19:19">
      <c r="S6667" s="109"/>
    </row>
    <row r="6668" spans="19:19">
      <c r="S6668" s="109"/>
    </row>
    <row r="6669" spans="19:19">
      <c r="S6669" s="109"/>
    </row>
    <row r="6670" spans="19:19">
      <c r="S6670" s="109"/>
    </row>
    <row r="6671" spans="19:19">
      <c r="S6671" s="109"/>
    </row>
    <row r="6672" spans="19:19">
      <c r="S6672" s="109"/>
    </row>
    <row r="6673" spans="19:19">
      <c r="S6673" s="109"/>
    </row>
    <row r="6674" spans="19:19">
      <c r="S6674" s="109"/>
    </row>
    <row r="6675" spans="19:19">
      <c r="S6675" s="109"/>
    </row>
    <row r="6676" spans="19:19">
      <c r="S6676" s="109"/>
    </row>
    <row r="6677" spans="19:19">
      <c r="S6677" s="109"/>
    </row>
    <row r="6678" spans="19:19">
      <c r="S6678" s="109"/>
    </row>
    <row r="6679" spans="19:19">
      <c r="S6679" s="109"/>
    </row>
    <row r="6680" spans="19:19">
      <c r="S6680" s="109"/>
    </row>
    <row r="6681" spans="19:19">
      <c r="S6681" s="109"/>
    </row>
    <row r="6682" spans="19:19">
      <c r="S6682" s="109"/>
    </row>
    <row r="6683" spans="19:19">
      <c r="S6683" s="109"/>
    </row>
    <row r="6684" spans="19:19">
      <c r="S6684" s="109"/>
    </row>
    <row r="6685" spans="19:19">
      <c r="S6685" s="109"/>
    </row>
    <row r="6686" spans="19:19">
      <c r="S6686" s="109"/>
    </row>
    <row r="6687" spans="19:19">
      <c r="S6687" s="109"/>
    </row>
    <row r="6688" spans="19:19">
      <c r="S6688" s="109"/>
    </row>
    <row r="6689" spans="19:19">
      <c r="S6689" s="109"/>
    </row>
    <row r="6690" spans="19:19">
      <c r="S6690" s="109"/>
    </row>
    <row r="6691" spans="19:19">
      <c r="S6691" s="109"/>
    </row>
    <row r="6692" spans="19:19">
      <c r="S6692" s="109"/>
    </row>
    <row r="6693" spans="19:19">
      <c r="S6693" s="109"/>
    </row>
    <row r="6694" spans="19:19">
      <c r="S6694" s="109"/>
    </row>
    <row r="6695" spans="19:19">
      <c r="S6695" s="109"/>
    </row>
    <row r="6696" spans="19:19">
      <c r="S6696" s="109"/>
    </row>
    <row r="6697" spans="19:19">
      <c r="S6697" s="109"/>
    </row>
    <row r="6698" spans="19:19">
      <c r="S6698" s="109"/>
    </row>
    <row r="6699" spans="19:19">
      <c r="S6699" s="109"/>
    </row>
    <row r="6700" spans="19:19">
      <c r="S6700" s="109"/>
    </row>
    <row r="6701" spans="19:19">
      <c r="S6701" s="109"/>
    </row>
    <row r="6702" spans="19:19">
      <c r="S6702" s="109"/>
    </row>
    <row r="6703" spans="19:19">
      <c r="S6703" s="109"/>
    </row>
    <row r="6704" spans="19:19">
      <c r="S6704" s="109"/>
    </row>
    <row r="6705" spans="19:19">
      <c r="S6705" s="109"/>
    </row>
    <row r="6706" spans="19:19">
      <c r="S6706" s="109"/>
    </row>
    <row r="6707" spans="19:19">
      <c r="S6707" s="109"/>
    </row>
    <row r="6708" spans="19:19">
      <c r="S6708" s="109"/>
    </row>
    <row r="6709" spans="19:19">
      <c r="S6709" s="109"/>
    </row>
    <row r="6710" spans="19:19">
      <c r="S6710" s="109"/>
    </row>
    <row r="6711" spans="19:19">
      <c r="S6711" s="109"/>
    </row>
    <row r="6712" spans="19:19">
      <c r="S6712" s="109"/>
    </row>
    <row r="6713" spans="19:19">
      <c r="S6713" s="109"/>
    </row>
    <row r="6714" spans="19:19">
      <c r="S6714" s="109"/>
    </row>
    <row r="6715" spans="19:19">
      <c r="S6715" s="109"/>
    </row>
    <row r="6716" spans="19:19">
      <c r="S6716" s="109"/>
    </row>
    <row r="6717" spans="19:19">
      <c r="S6717" s="109"/>
    </row>
    <row r="6718" spans="19:19">
      <c r="S6718" s="109"/>
    </row>
    <row r="6719" spans="19:19">
      <c r="S6719" s="109"/>
    </row>
    <row r="6720" spans="19:19">
      <c r="S6720" s="109"/>
    </row>
    <row r="6721" spans="19:19">
      <c r="S6721" s="109"/>
    </row>
    <row r="6722" spans="19:19">
      <c r="S6722" s="109"/>
    </row>
    <row r="6723" spans="19:19">
      <c r="S6723" s="109"/>
    </row>
    <row r="6724" spans="19:19">
      <c r="S6724" s="109"/>
    </row>
    <row r="6725" spans="19:19">
      <c r="S6725" s="109"/>
    </row>
    <row r="6726" spans="19:19">
      <c r="S6726" s="109"/>
    </row>
    <row r="6727" spans="19:19">
      <c r="S6727" s="109"/>
    </row>
    <row r="6728" spans="19:19">
      <c r="S6728" s="109"/>
    </row>
    <row r="6729" spans="19:19">
      <c r="S6729" s="109"/>
    </row>
    <row r="6730" spans="19:19">
      <c r="S6730" s="109"/>
    </row>
    <row r="6731" spans="19:19">
      <c r="S6731" s="109"/>
    </row>
    <row r="6732" spans="19:19">
      <c r="S6732" s="109"/>
    </row>
    <row r="6733" spans="19:19">
      <c r="S6733" s="109"/>
    </row>
    <row r="6734" spans="19:19">
      <c r="S6734" s="109"/>
    </row>
    <row r="6735" spans="19:19">
      <c r="S6735" s="109"/>
    </row>
    <row r="6736" spans="19:19">
      <c r="S6736" s="109"/>
    </row>
    <row r="6737" spans="19:19">
      <c r="S6737" s="109"/>
    </row>
    <row r="6738" spans="19:19">
      <c r="S6738" s="109"/>
    </row>
    <row r="6739" spans="19:19">
      <c r="S6739" s="109"/>
    </row>
    <row r="6740" spans="19:19">
      <c r="S6740" s="109"/>
    </row>
    <row r="6741" spans="19:19">
      <c r="S6741" s="109"/>
    </row>
    <row r="6742" spans="19:19">
      <c r="S6742" s="109"/>
    </row>
    <row r="6743" spans="19:19">
      <c r="S6743" s="109"/>
    </row>
    <row r="6744" spans="19:19">
      <c r="S6744" s="109"/>
    </row>
    <row r="6745" spans="19:19">
      <c r="S6745" s="109"/>
    </row>
    <row r="6746" spans="19:19">
      <c r="S6746" s="109"/>
    </row>
    <row r="6747" spans="19:19">
      <c r="S6747" s="109"/>
    </row>
    <row r="6748" spans="19:19">
      <c r="S6748" s="109"/>
    </row>
    <row r="6749" spans="19:19">
      <c r="S6749" s="109"/>
    </row>
    <row r="6750" spans="19:19">
      <c r="S6750" s="109"/>
    </row>
    <row r="6751" spans="19:19">
      <c r="S6751" s="109"/>
    </row>
    <row r="6752" spans="19:19">
      <c r="S6752" s="109"/>
    </row>
    <row r="6753" spans="19:19">
      <c r="S6753" s="109"/>
    </row>
    <row r="6754" spans="19:19">
      <c r="S6754" s="109"/>
    </row>
    <row r="6755" spans="19:19">
      <c r="S6755" s="109"/>
    </row>
    <row r="6756" spans="19:19">
      <c r="S6756" s="109"/>
    </row>
    <row r="6757" spans="19:19">
      <c r="S6757" s="109"/>
    </row>
    <row r="6758" spans="19:19">
      <c r="S6758" s="109"/>
    </row>
    <row r="6759" spans="19:19">
      <c r="S6759" s="109"/>
    </row>
    <row r="6760" spans="19:19">
      <c r="S6760" s="109"/>
    </row>
    <row r="6761" spans="19:19">
      <c r="S6761" s="109"/>
    </row>
    <row r="6762" spans="19:19">
      <c r="S6762" s="109"/>
    </row>
    <row r="6763" spans="19:19">
      <c r="S6763" s="109"/>
    </row>
    <row r="6764" spans="19:19">
      <c r="S6764" s="109"/>
    </row>
    <row r="6765" spans="19:19">
      <c r="S6765" s="109"/>
    </row>
    <row r="6766" spans="19:19">
      <c r="S6766" s="109"/>
    </row>
    <row r="6767" spans="19:19">
      <c r="S6767" s="109"/>
    </row>
    <row r="6768" spans="19:19">
      <c r="S6768" s="109"/>
    </row>
    <row r="6769" spans="19:19">
      <c r="S6769" s="109"/>
    </row>
    <row r="6770" spans="19:19">
      <c r="S6770" s="109"/>
    </row>
    <row r="6771" spans="19:19">
      <c r="S6771" s="109"/>
    </row>
    <row r="6772" spans="19:19">
      <c r="S6772" s="109"/>
    </row>
    <row r="6773" spans="19:19">
      <c r="S6773" s="109"/>
    </row>
    <row r="6774" spans="19:19">
      <c r="S6774" s="109"/>
    </row>
    <row r="6775" spans="19:19">
      <c r="S6775" s="109"/>
    </row>
    <row r="6776" spans="19:19">
      <c r="S6776" s="109"/>
    </row>
    <row r="6777" spans="19:19">
      <c r="S6777" s="109"/>
    </row>
    <row r="6778" spans="19:19">
      <c r="S6778" s="109"/>
    </row>
    <row r="6779" spans="19:19">
      <c r="S6779" s="109"/>
    </row>
    <row r="6780" spans="19:19">
      <c r="S6780" s="109"/>
    </row>
    <row r="6781" spans="19:19">
      <c r="S6781" s="109"/>
    </row>
    <row r="6782" spans="19:19">
      <c r="S6782" s="109"/>
    </row>
    <row r="6783" spans="19:19">
      <c r="S6783" s="109"/>
    </row>
    <row r="6784" spans="19:19">
      <c r="S6784" s="109"/>
    </row>
    <row r="6785" spans="19:19">
      <c r="S6785" s="109"/>
    </row>
    <row r="6786" spans="19:19">
      <c r="S6786" s="109"/>
    </row>
    <row r="6787" spans="19:19">
      <c r="S6787" s="109"/>
    </row>
    <row r="6788" spans="19:19">
      <c r="S6788" s="109"/>
    </row>
    <row r="6789" spans="19:19">
      <c r="S6789" s="109"/>
    </row>
    <row r="6790" spans="19:19">
      <c r="S6790" s="109"/>
    </row>
    <row r="6791" spans="19:19">
      <c r="S6791" s="109"/>
    </row>
    <row r="6792" spans="19:19">
      <c r="S6792" s="109"/>
    </row>
    <row r="6793" spans="19:19">
      <c r="S6793" s="109"/>
    </row>
    <row r="6794" spans="19:19">
      <c r="S6794" s="109"/>
    </row>
    <row r="6795" spans="19:19">
      <c r="S6795" s="109"/>
    </row>
    <row r="6796" spans="19:19">
      <c r="S6796" s="109"/>
    </row>
    <row r="6797" spans="19:19">
      <c r="S6797" s="109"/>
    </row>
    <row r="6798" spans="19:19">
      <c r="S6798" s="109"/>
    </row>
    <row r="6799" spans="19:19">
      <c r="S6799" s="109"/>
    </row>
    <row r="6800" spans="19:19">
      <c r="S6800" s="109"/>
    </row>
    <row r="6801" spans="19:19">
      <c r="S6801" s="109"/>
    </row>
    <row r="6802" spans="19:19">
      <c r="S6802" s="109"/>
    </row>
    <row r="6803" spans="19:19">
      <c r="S6803" s="109"/>
    </row>
    <row r="6804" spans="19:19">
      <c r="S6804" s="109"/>
    </row>
    <row r="6805" spans="19:19">
      <c r="S6805" s="109"/>
    </row>
    <row r="6806" spans="19:19">
      <c r="S6806" s="109"/>
    </row>
    <row r="6807" spans="19:19">
      <c r="S6807" s="109"/>
    </row>
    <row r="6808" spans="19:19">
      <c r="S6808" s="109"/>
    </row>
    <row r="6809" spans="19:19">
      <c r="S6809" s="109"/>
    </row>
    <row r="6810" spans="19:19">
      <c r="S6810" s="109"/>
    </row>
    <row r="6811" spans="19:19">
      <c r="S6811" s="109"/>
    </row>
    <row r="6812" spans="19:19">
      <c r="S6812" s="109"/>
    </row>
    <row r="6813" spans="19:19">
      <c r="S6813" s="109"/>
    </row>
    <row r="6814" spans="19:19">
      <c r="S6814" s="109"/>
    </row>
    <row r="6815" spans="19:19">
      <c r="S6815" s="109"/>
    </row>
    <row r="6816" spans="19:19">
      <c r="S6816" s="109"/>
    </row>
    <row r="6817" spans="19:19">
      <c r="S6817" s="109"/>
    </row>
    <row r="6818" spans="19:19">
      <c r="S6818" s="109"/>
    </row>
    <row r="6819" spans="19:19">
      <c r="S6819" s="109"/>
    </row>
    <row r="6820" spans="19:19">
      <c r="S6820" s="109"/>
    </row>
    <row r="6821" spans="19:19">
      <c r="S6821" s="109"/>
    </row>
    <row r="6822" spans="19:19">
      <c r="S6822" s="109"/>
    </row>
    <row r="6823" spans="19:19">
      <c r="S6823" s="109"/>
    </row>
    <row r="6824" spans="19:19">
      <c r="S6824" s="109"/>
    </row>
    <row r="6825" spans="19:19">
      <c r="S6825" s="109"/>
    </row>
    <row r="6826" spans="19:19">
      <c r="S6826" s="109"/>
    </row>
    <row r="6827" spans="19:19">
      <c r="S6827" s="109"/>
    </row>
    <row r="6828" spans="19:19">
      <c r="S6828" s="109"/>
    </row>
    <row r="6829" spans="19:19">
      <c r="S6829" s="109"/>
    </row>
    <row r="6830" spans="19:19">
      <c r="S6830" s="109"/>
    </row>
    <row r="6831" spans="19:19">
      <c r="S6831" s="109"/>
    </row>
    <row r="6832" spans="19:19">
      <c r="S6832" s="109"/>
    </row>
    <row r="6833" spans="19:19">
      <c r="S6833" s="109"/>
    </row>
    <row r="6834" spans="19:19">
      <c r="S6834" s="109"/>
    </row>
    <row r="6835" spans="19:19">
      <c r="S6835" s="109"/>
    </row>
    <row r="6836" spans="19:19">
      <c r="S6836" s="109"/>
    </row>
    <row r="6837" spans="19:19">
      <c r="S6837" s="109"/>
    </row>
    <row r="6838" spans="19:19">
      <c r="S6838" s="109"/>
    </row>
    <row r="6839" spans="19:19">
      <c r="S6839" s="109"/>
    </row>
    <row r="6840" spans="19:19">
      <c r="S6840" s="109"/>
    </row>
    <row r="6841" spans="19:19">
      <c r="S6841" s="109"/>
    </row>
    <row r="6842" spans="19:19">
      <c r="S6842" s="109"/>
    </row>
    <row r="6843" spans="19:19">
      <c r="S6843" s="109"/>
    </row>
    <row r="6844" spans="19:19">
      <c r="S6844" s="109"/>
    </row>
    <row r="6845" spans="19:19">
      <c r="S6845" s="109"/>
    </row>
    <row r="6846" spans="19:19">
      <c r="S6846" s="109"/>
    </row>
    <row r="6847" spans="19:19">
      <c r="S6847" s="109"/>
    </row>
    <row r="6848" spans="19:19">
      <c r="S6848" s="109"/>
    </row>
    <row r="6849" spans="19:19">
      <c r="S6849" s="109"/>
    </row>
    <row r="6850" spans="19:19">
      <c r="S6850" s="109"/>
    </row>
    <row r="6851" spans="19:19">
      <c r="S6851" s="109"/>
    </row>
    <row r="6852" spans="19:19">
      <c r="S6852" s="109"/>
    </row>
    <row r="6853" spans="19:19">
      <c r="S6853" s="109"/>
    </row>
    <row r="6854" spans="19:19">
      <c r="S6854" s="109"/>
    </row>
    <row r="6855" spans="19:19">
      <c r="S6855" s="109"/>
    </row>
    <row r="6856" spans="19:19">
      <c r="S6856" s="109"/>
    </row>
    <row r="6857" spans="19:19">
      <c r="S6857" s="109"/>
    </row>
    <row r="6858" spans="19:19">
      <c r="S6858" s="109"/>
    </row>
    <row r="6859" spans="19:19">
      <c r="S6859" s="109"/>
    </row>
    <row r="6860" spans="19:19">
      <c r="S6860" s="109"/>
    </row>
    <row r="6861" spans="19:19">
      <c r="S6861" s="109"/>
    </row>
    <row r="6862" spans="19:19">
      <c r="S6862" s="109"/>
    </row>
    <row r="6863" spans="19:19">
      <c r="S6863" s="109"/>
    </row>
    <row r="6864" spans="19:19">
      <c r="S6864" s="109"/>
    </row>
    <row r="6865" spans="19:19">
      <c r="S6865" s="109"/>
    </row>
    <row r="6866" spans="19:19">
      <c r="S6866" s="109"/>
    </row>
    <row r="6867" spans="19:19">
      <c r="S6867" s="109"/>
    </row>
    <row r="6868" spans="19:19">
      <c r="S6868" s="109"/>
    </row>
    <row r="6869" spans="19:19">
      <c r="S6869" s="109"/>
    </row>
    <row r="6870" spans="19:19">
      <c r="S6870" s="109"/>
    </row>
    <row r="6871" spans="19:19">
      <c r="S6871" s="109"/>
    </row>
    <row r="6872" spans="19:19">
      <c r="S6872" s="109"/>
    </row>
    <row r="6873" spans="19:19">
      <c r="S6873" s="109"/>
    </row>
    <row r="6874" spans="19:19">
      <c r="S6874" s="109"/>
    </row>
    <row r="6875" spans="19:19">
      <c r="S6875" s="109"/>
    </row>
    <row r="6876" spans="19:19">
      <c r="S6876" s="109"/>
    </row>
    <row r="6877" spans="19:19">
      <c r="S6877" s="109"/>
    </row>
    <row r="6878" spans="19:19">
      <c r="S6878" s="109"/>
    </row>
    <row r="6879" spans="19:19">
      <c r="S6879" s="109"/>
    </row>
    <row r="6880" spans="19:19">
      <c r="S6880" s="109"/>
    </row>
    <row r="6881" spans="19:19">
      <c r="S6881" s="109"/>
    </row>
    <row r="6882" spans="19:19">
      <c r="S6882" s="109"/>
    </row>
    <row r="6883" spans="19:19">
      <c r="S6883" s="109"/>
    </row>
    <row r="6884" spans="19:19">
      <c r="S6884" s="109"/>
    </row>
    <row r="6885" spans="19:19">
      <c r="S6885" s="109"/>
    </row>
    <row r="6886" spans="19:19">
      <c r="S6886" s="109"/>
    </row>
    <row r="6887" spans="19:19">
      <c r="S6887" s="109"/>
    </row>
    <row r="6888" spans="19:19">
      <c r="S6888" s="109"/>
    </row>
    <row r="6889" spans="19:19">
      <c r="S6889" s="109"/>
    </row>
    <row r="6890" spans="19:19">
      <c r="S6890" s="109"/>
    </row>
    <row r="6891" spans="19:19">
      <c r="S6891" s="109"/>
    </row>
    <row r="6892" spans="19:19">
      <c r="S6892" s="109"/>
    </row>
    <row r="6893" spans="19:19">
      <c r="S6893" s="109"/>
    </row>
    <row r="6894" spans="19:19">
      <c r="S6894" s="109"/>
    </row>
    <row r="6895" spans="19:19">
      <c r="S6895" s="109"/>
    </row>
    <row r="6896" spans="19:19">
      <c r="S6896" s="109"/>
    </row>
    <row r="6897" spans="19:19">
      <c r="S6897" s="109"/>
    </row>
    <row r="6898" spans="19:19">
      <c r="S6898" s="109"/>
    </row>
    <row r="6899" spans="19:19">
      <c r="S6899" s="109"/>
    </row>
    <row r="6900" spans="19:19">
      <c r="S6900" s="109"/>
    </row>
    <row r="6901" spans="19:19">
      <c r="S6901" s="109"/>
    </row>
    <row r="6902" spans="19:19">
      <c r="S6902" s="109"/>
    </row>
    <row r="6903" spans="19:19">
      <c r="S6903" s="109"/>
    </row>
    <row r="6904" spans="19:19">
      <c r="S6904" s="109"/>
    </row>
    <row r="6905" spans="19:19">
      <c r="S6905" s="109"/>
    </row>
    <row r="6906" spans="19:19">
      <c r="S6906" s="109"/>
    </row>
    <row r="6907" spans="19:19">
      <c r="S6907" s="109"/>
    </row>
    <row r="6908" spans="19:19">
      <c r="S6908" s="109"/>
    </row>
    <row r="6909" spans="19:19">
      <c r="S6909" s="109"/>
    </row>
    <row r="6910" spans="19:19">
      <c r="S6910" s="109"/>
    </row>
    <row r="6911" spans="19:19">
      <c r="S6911" s="109"/>
    </row>
    <row r="6912" spans="19:19">
      <c r="S6912" s="109"/>
    </row>
    <row r="6913" spans="19:19">
      <c r="S6913" s="109"/>
    </row>
    <row r="6914" spans="19:19">
      <c r="S6914" s="109"/>
    </row>
    <row r="6915" spans="19:19">
      <c r="S6915" s="109"/>
    </row>
    <row r="6916" spans="19:19">
      <c r="S6916" s="109"/>
    </row>
    <row r="6917" spans="19:19">
      <c r="S6917" s="109"/>
    </row>
    <row r="6918" spans="19:19">
      <c r="S6918" s="109"/>
    </row>
    <row r="6919" spans="19:19">
      <c r="S6919" s="109"/>
    </row>
    <row r="6920" spans="19:19">
      <c r="S6920" s="109"/>
    </row>
    <row r="6921" spans="19:19">
      <c r="S6921" s="109"/>
    </row>
    <row r="6922" spans="19:19">
      <c r="S6922" s="109"/>
    </row>
    <row r="6923" spans="19:19">
      <c r="S6923" s="109"/>
    </row>
    <row r="6924" spans="19:19">
      <c r="S6924" s="109"/>
    </row>
    <row r="6925" spans="19:19">
      <c r="S6925" s="109"/>
    </row>
    <row r="6926" spans="19:19">
      <c r="S6926" s="109"/>
    </row>
    <row r="6927" spans="19:19">
      <c r="S6927" s="109"/>
    </row>
    <row r="6928" spans="19:19">
      <c r="S6928" s="109"/>
    </row>
    <row r="6929" spans="19:19">
      <c r="S6929" s="109"/>
    </row>
    <row r="6930" spans="19:19">
      <c r="S6930" s="109"/>
    </row>
    <row r="6931" spans="19:19">
      <c r="S6931" s="109"/>
    </row>
    <row r="6932" spans="19:19">
      <c r="S6932" s="109"/>
    </row>
    <row r="6933" spans="19:19">
      <c r="S6933" s="109"/>
    </row>
    <row r="6934" spans="19:19">
      <c r="S6934" s="109"/>
    </row>
    <row r="6935" spans="19:19">
      <c r="S6935" s="109"/>
    </row>
    <row r="6936" spans="19:19">
      <c r="S6936" s="109"/>
    </row>
    <row r="6937" spans="19:19">
      <c r="S6937" s="109"/>
    </row>
    <row r="6938" spans="19:19">
      <c r="S6938" s="109"/>
    </row>
    <row r="6939" spans="19:19">
      <c r="S6939" s="109"/>
    </row>
    <row r="6940" spans="19:19">
      <c r="S6940" s="109"/>
    </row>
    <row r="6941" spans="19:19">
      <c r="S6941" s="109"/>
    </row>
    <row r="6942" spans="19:19">
      <c r="S6942" s="109"/>
    </row>
    <row r="6943" spans="19:19">
      <c r="S6943" s="109"/>
    </row>
    <row r="6944" spans="19:19">
      <c r="S6944" s="109"/>
    </row>
    <row r="6945" spans="19:19">
      <c r="S6945" s="109"/>
    </row>
    <row r="6946" spans="19:19">
      <c r="S6946" s="109"/>
    </row>
    <row r="6947" spans="19:19">
      <c r="S6947" s="109"/>
    </row>
    <row r="6948" spans="19:19">
      <c r="S6948" s="109"/>
    </row>
    <row r="6949" spans="19:19">
      <c r="S6949" s="109"/>
    </row>
    <row r="6950" spans="19:19">
      <c r="S6950" s="109"/>
    </row>
    <row r="6951" spans="19:19">
      <c r="S6951" s="109"/>
    </row>
    <row r="6952" spans="19:19">
      <c r="S6952" s="109"/>
    </row>
    <row r="6953" spans="19:19">
      <c r="S6953" s="109"/>
    </row>
    <row r="6954" spans="19:19">
      <c r="S6954" s="109"/>
    </row>
    <row r="6955" spans="19:19">
      <c r="S6955" s="109"/>
    </row>
    <row r="6956" spans="19:19">
      <c r="S6956" s="109"/>
    </row>
    <row r="6957" spans="19:19">
      <c r="S6957" s="109"/>
    </row>
    <row r="6958" spans="19:19">
      <c r="S6958" s="109"/>
    </row>
    <row r="6959" spans="19:19">
      <c r="S6959" s="109"/>
    </row>
    <row r="6960" spans="19:19">
      <c r="S6960" s="109"/>
    </row>
    <row r="6961" spans="19:19">
      <c r="S6961" s="109"/>
    </row>
    <row r="6962" spans="19:19">
      <c r="S6962" s="109"/>
    </row>
    <row r="6963" spans="19:19">
      <c r="S6963" s="109"/>
    </row>
    <row r="6964" spans="19:19">
      <c r="S6964" s="109"/>
    </row>
    <row r="6965" spans="19:19">
      <c r="S6965" s="109"/>
    </row>
    <row r="6966" spans="19:19">
      <c r="S6966" s="109"/>
    </row>
    <row r="6967" spans="19:19">
      <c r="S6967" s="109"/>
    </row>
    <row r="6968" spans="19:19">
      <c r="S6968" s="109"/>
    </row>
    <row r="6969" spans="19:19">
      <c r="S6969" s="109"/>
    </row>
    <row r="6970" spans="19:19">
      <c r="S6970" s="109"/>
    </row>
    <row r="6971" spans="19:19">
      <c r="S6971" s="109"/>
    </row>
    <row r="6972" spans="19:19">
      <c r="S6972" s="109"/>
    </row>
    <row r="6973" spans="19:19">
      <c r="S6973" s="109"/>
    </row>
    <row r="6974" spans="19:19">
      <c r="S6974" s="109"/>
    </row>
    <row r="6975" spans="19:19">
      <c r="S6975" s="109"/>
    </row>
    <row r="6976" spans="19:19">
      <c r="S6976" s="109"/>
    </row>
    <row r="6977" spans="19:19">
      <c r="S6977" s="109"/>
    </row>
    <row r="6978" spans="19:19">
      <c r="S6978" s="109"/>
    </row>
    <row r="6979" spans="19:19">
      <c r="S6979" s="109"/>
    </row>
    <row r="6980" spans="19:19">
      <c r="S6980" s="109"/>
    </row>
    <row r="6981" spans="19:19">
      <c r="S6981" s="109"/>
    </row>
    <row r="6982" spans="19:19">
      <c r="S6982" s="109"/>
    </row>
    <row r="6983" spans="19:19">
      <c r="S6983" s="109"/>
    </row>
    <row r="6984" spans="19:19">
      <c r="S6984" s="109"/>
    </row>
    <row r="6985" spans="19:19">
      <c r="S6985" s="109"/>
    </row>
    <row r="6986" spans="19:19">
      <c r="S6986" s="109"/>
    </row>
    <row r="6987" spans="19:19">
      <c r="S6987" s="109"/>
    </row>
    <row r="6988" spans="19:19">
      <c r="S6988" s="109"/>
    </row>
    <row r="6989" spans="19:19">
      <c r="S6989" s="109"/>
    </row>
    <row r="6990" spans="19:19">
      <c r="S6990" s="109"/>
    </row>
    <row r="6991" spans="19:19">
      <c r="S6991" s="109"/>
    </row>
    <row r="6992" spans="19:19">
      <c r="S6992" s="109"/>
    </row>
    <row r="6993" spans="19:19">
      <c r="S6993" s="109"/>
    </row>
    <row r="6994" spans="19:19">
      <c r="S6994" s="109"/>
    </row>
    <row r="6995" spans="19:19">
      <c r="S6995" s="109"/>
    </row>
    <row r="6996" spans="19:19">
      <c r="S6996" s="109"/>
    </row>
    <row r="6997" spans="19:19">
      <c r="S6997" s="109"/>
    </row>
    <row r="6998" spans="19:19">
      <c r="S6998" s="109"/>
    </row>
    <row r="6999" spans="19:19">
      <c r="S6999" s="109"/>
    </row>
    <row r="7000" spans="19:19">
      <c r="S7000" s="109"/>
    </row>
    <row r="7001" spans="19:19">
      <c r="S7001" s="109"/>
    </row>
    <row r="7002" spans="19:19">
      <c r="S7002" s="109"/>
    </row>
    <row r="7003" spans="19:19">
      <c r="S7003" s="109"/>
    </row>
    <row r="7004" spans="19:19">
      <c r="S7004" s="109"/>
    </row>
    <row r="7005" spans="19:19">
      <c r="S7005" s="109"/>
    </row>
    <row r="7006" spans="19:19">
      <c r="S7006" s="109"/>
    </row>
    <row r="7007" spans="19:19">
      <c r="S7007" s="109"/>
    </row>
    <row r="7008" spans="19:19">
      <c r="S7008" s="109"/>
    </row>
    <row r="7009" spans="19:19">
      <c r="S7009" s="109"/>
    </row>
    <row r="7010" spans="19:19">
      <c r="S7010" s="109"/>
    </row>
    <row r="7011" spans="19:19">
      <c r="S7011" s="109"/>
    </row>
    <row r="7012" spans="19:19">
      <c r="S7012" s="109"/>
    </row>
    <row r="7013" spans="19:19">
      <c r="S7013" s="109"/>
    </row>
    <row r="7014" spans="19:19">
      <c r="S7014" s="109"/>
    </row>
    <row r="7015" spans="19:19">
      <c r="S7015" s="109"/>
    </row>
    <row r="7016" spans="19:19">
      <c r="S7016" s="109"/>
    </row>
    <row r="7017" spans="19:19">
      <c r="S7017" s="109"/>
    </row>
    <row r="7018" spans="19:19">
      <c r="S7018" s="109"/>
    </row>
    <row r="7019" spans="19:19">
      <c r="S7019" s="109"/>
    </row>
    <row r="7020" spans="19:19">
      <c r="S7020" s="109"/>
    </row>
    <row r="7021" spans="19:19">
      <c r="S7021" s="109"/>
    </row>
    <row r="7022" spans="19:19">
      <c r="S7022" s="109"/>
    </row>
    <row r="7023" spans="19:19">
      <c r="S7023" s="109"/>
    </row>
    <row r="7024" spans="19:19">
      <c r="S7024" s="109"/>
    </row>
    <row r="7025" spans="19:19">
      <c r="S7025" s="109"/>
    </row>
    <row r="7026" spans="19:19">
      <c r="S7026" s="109"/>
    </row>
    <row r="7027" spans="19:19">
      <c r="S7027" s="109"/>
    </row>
    <row r="7028" spans="19:19">
      <c r="S7028" s="109"/>
    </row>
    <row r="7029" spans="19:19">
      <c r="S7029" s="109"/>
    </row>
    <row r="7030" spans="19:19">
      <c r="S7030" s="109"/>
    </row>
    <row r="7031" spans="19:19">
      <c r="S7031" s="109"/>
    </row>
    <row r="7032" spans="19:19">
      <c r="S7032" s="109"/>
    </row>
    <row r="7033" spans="19:19">
      <c r="S7033" s="109"/>
    </row>
    <row r="7034" spans="19:19">
      <c r="S7034" s="109"/>
    </row>
    <row r="7035" spans="19:19">
      <c r="S7035" s="109"/>
    </row>
    <row r="7036" spans="19:19">
      <c r="S7036" s="109"/>
    </row>
    <row r="7037" spans="19:19">
      <c r="S7037" s="109"/>
    </row>
    <row r="7038" spans="19:19">
      <c r="S7038" s="109"/>
    </row>
    <row r="7039" spans="19:19">
      <c r="S7039" s="109"/>
    </row>
    <row r="7040" spans="19:19">
      <c r="S7040" s="109"/>
    </row>
    <row r="7041" spans="19:19">
      <c r="S7041" s="109"/>
    </row>
    <row r="7042" spans="19:19">
      <c r="S7042" s="109"/>
    </row>
    <row r="7043" spans="19:19">
      <c r="S7043" s="109"/>
    </row>
    <row r="7044" spans="19:19">
      <c r="S7044" s="109"/>
    </row>
    <row r="7045" spans="19:19">
      <c r="S7045" s="109"/>
    </row>
    <row r="7046" spans="19:19">
      <c r="S7046" s="109"/>
    </row>
    <row r="7047" spans="19:19">
      <c r="S7047" s="109"/>
    </row>
    <row r="7048" spans="19:19">
      <c r="S7048" s="109"/>
    </row>
    <row r="7049" spans="19:19">
      <c r="S7049" s="109"/>
    </row>
    <row r="7050" spans="19:19">
      <c r="S7050" s="109"/>
    </row>
    <row r="7051" spans="19:19">
      <c r="S7051" s="109"/>
    </row>
    <row r="7052" spans="19:19">
      <c r="S7052" s="109"/>
    </row>
    <row r="7053" spans="19:19">
      <c r="S7053" s="109"/>
    </row>
    <row r="7054" spans="19:19">
      <c r="S7054" s="109"/>
    </row>
    <row r="7055" spans="19:19">
      <c r="S7055" s="109"/>
    </row>
    <row r="7056" spans="19:19">
      <c r="S7056" s="109"/>
    </row>
    <row r="7057" spans="19:19">
      <c r="S7057" s="109"/>
    </row>
    <row r="7058" spans="19:19">
      <c r="S7058" s="109"/>
    </row>
    <row r="7059" spans="19:19">
      <c r="S7059" s="109"/>
    </row>
    <row r="7060" spans="19:19">
      <c r="S7060" s="109"/>
    </row>
    <row r="7061" spans="19:19">
      <c r="S7061" s="109"/>
    </row>
    <row r="7062" spans="19:19">
      <c r="S7062" s="109"/>
    </row>
    <row r="7063" spans="19:19">
      <c r="S7063" s="109"/>
    </row>
    <row r="7064" spans="19:19">
      <c r="S7064" s="109"/>
    </row>
    <row r="7065" spans="19:19">
      <c r="S7065" s="109"/>
    </row>
    <row r="7066" spans="19:19">
      <c r="S7066" s="109"/>
    </row>
    <row r="7067" spans="19:19">
      <c r="S7067" s="109"/>
    </row>
    <row r="7068" spans="19:19">
      <c r="S7068" s="109"/>
    </row>
    <row r="7069" spans="19:19">
      <c r="S7069" s="109"/>
    </row>
    <row r="7070" spans="19:19">
      <c r="S7070" s="109"/>
    </row>
    <row r="7071" spans="19:19">
      <c r="S7071" s="109"/>
    </row>
    <row r="7072" spans="19:19">
      <c r="S7072" s="109"/>
    </row>
    <row r="7073" spans="19:19">
      <c r="S7073" s="109"/>
    </row>
    <row r="7074" spans="19:19">
      <c r="S7074" s="109"/>
    </row>
    <row r="7075" spans="19:19">
      <c r="S7075" s="109"/>
    </row>
    <row r="7076" spans="19:19">
      <c r="S7076" s="109"/>
    </row>
    <row r="7077" spans="19:19">
      <c r="S7077" s="109"/>
    </row>
    <row r="7078" spans="19:19">
      <c r="S7078" s="109"/>
    </row>
    <row r="7079" spans="19:19">
      <c r="S7079" s="109"/>
    </row>
    <row r="7080" spans="19:19">
      <c r="S7080" s="109"/>
    </row>
    <row r="7081" spans="19:19">
      <c r="S7081" s="109"/>
    </row>
    <row r="7082" spans="19:19">
      <c r="S7082" s="109"/>
    </row>
    <row r="7083" spans="19:19">
      <c r="S7083" s="109"/>
    </row>
    <row r="7084" spans="19:19">
      <c r="S7084" s="109"/>
    </row>
    <row r="7085" spans="19:19">
      <c r="S7085" s="109"/>
    </row>
    <row r="7086" spans="19:19">
      <c r="S7086" s="109"/>
    </row>
    <row r="7087" spans="19:19">
      <c r="S7087" s="109"/>
    </row>
    <row r="7088" spans="19:19">
      <c r="S7088" s="109"/>
    </row>
    <row r="7089" spans="19:19">
      <c r="S7089" s="109"/>
    </row>
    <row r="7090" spans="19:19">
      <c r="S7090" s="109"/>
    </row>
    <row r="7091" spans="19:19">
      <c r="S7091" s="109"/>
    </row>
    <row r="7092" spans="19:19">
      <c r="S7092" s="109"/>
    </row>
    <row r="7093" spans="19:19">
      <c r="S7093" s="109"/>
    </row>
    <row r="7094" spans="19:19">
      <c r="S7094" s="109"/>
    </row>
    <row r="7095" spans="19:19">
      <c r="S7095" s="109"/>
    </row>
    <row r="7096" spans="19:19">
      <c r="S7096" s="109"/>
    </row>
    <row r="7097" spans="19:19">
      <c r="S7097" s="109"/>
    </row>
    <row r="7098" spans="19:19">
      <c r="S7098" s="109"/>
    </row>
    <row r="7099" spans="19:19">
      <c r="S7099" s="109"/>
    </row>
    <row r="7100" spans="19:19">
      <c r="S7100" s="109"/>
    </row>
    <row r="7101" spans="19:19">
      <c r="S7101" s="109"/>
    </row>
    <row r="7102" spans="19:19">
      <c r="S7102" s="109"/>
    </row>
    <row r="7103" spans="19:19">
      <c r="S7103" s="109"/>
    </row>
    <row r="7104" spans="19:19">
      <c r="S7104" s="109"/>
    </row>
    <row r="7105" spans="19:19">
      <c r="S7105" s="109"/>
    </row>
    <row r="7106" spans="19:19">
      <c r="S7106" s="109"/>
    </row>
    <row r="7107" spans="19:19">
      <c r="S7107" s="109"/>
    </row>
    <row r="7108" spans="19:19">
      <c r="S7108" s="109"/>
    </row>
    <row r="7109" spans="19:19">
      <c r="S7109" s="109"/>
    </row>
    <row r="7110" spans="19:19">
      <c r="S7110" s="109"/>
    </row>
    <row r="7111" spans="19:19">
      <c r="S7111" s="109"/>
    </row>
    <row r="7112" spans="19:19">
      <c r="S7112" s="109"/>
    </row>
    <row r="7113" spans="19:19">
      <c r="S7113" s="109"/>
    </row>
    <row r="7114" spans="19:19">
      <c r="S7114" s="109"/>
    </row>
    <row r="7115" spans="19:19">
      <c r="S7115" s="109"/>
    </row>
    <row r="7116" spans="19:19">
      <c r="S7116" s="109"/>
    </row>
    <row r="7117" spans="19:19">
      <c r="S7117" s="109"/>
    </row>
    <row r="7118" spans="19:19">
      <c r="S7118" s="109"/>
    </row>
    <row r="7119" spans="19:19">
      <c r="S7119" s="109"/>
    </row>
    <row r="7120" spans="19:19">
      <c r="S7120" s="109"/>
    </row>
    <row r="7121" spans="19:19">
      <c r="S7121" s="109"/>
    </row>
    <row r="7122" spans="19:19">
      <c r="S7122" s="109"/>
    </row>
    <row r="7123" spans="19:19">
      <c r="S7123" s="109"/>
    </row>
    <row r="7124" spans="19:19">
      <c r="S7124" s="109"/>
    </row>
    <row r="7125" spans="19:19">
      <c r="S7125" s="109"/>
    </row>
    <row r="7126" spans="19:19">
      <c r="S7126" s="109"/>
    </row>
    <row r="7127" spans="19:19">
      <c r="S7127" s="109"/>
    </row>
    <row r="7128" spans="19:19">
      <c r="S7128" s="109"/>
    </row>
    <row r="7129" spans="19:19">
      <c r="S7129" s="109"/>
    </row>
    <row r="7130" spans="19:19">
      <c r="S7130" s="109"/>
    </row>
    <row r="7131" spans="19:19">
      <c r="S7131" s="109"/>
    </row>
    <row r="7132" spans="19:19">
      <c r="S7132" s="109"/>
    </row>
    <row r="7133" spans="19:19">
      <c r="S7133" s="109"/>
    </row>
    <row r="7134" spans="19:19">
      <c r="S7134" s="109"/>
    </row>
    <row r="7135" spans="19:19">
      <c r="S7135" s="109"/>
    </row>
    <row r="7136" spans="19:19">
      <c r="S7136" s="109"/>
    </row>
    <row r="7137" spans="19:19">
      <c r="S7137" s="109"/>
    </row>
    <row r="7138" spans="19:19">
      <c r="S7138" s="109"/>
    </row>
    <row r="7139" spans="19:19">
      <c r="S7139" s="109"/>
    </row>
    <row r="7140" spans="19:19">
      <c r="S7140" s="109"/>
    </row>
    <row r="7141" spans="19:19">
      <c r="S7141" s="109"/>
    </row>
    <row r="7142" spans="19:19">
      <c r="S7142" s="109"/>
    </row>
    <row r="7143" spans="19:19">
      <c r="S7143" s="109"/>
    </row>
    <row r="7144" spans="19:19">
      <c r="S7144" s="109"/>
    </row>
    <row r="7145" spans="19:19">
      <c r="S7145" s="109"/>
    </row>
    <row r="7146" spans="19:19">
      <c r="S7146" s="109"/>
    </row>
    <row r="7147" spans="19:19">
      <c r="S7147" s="109"/>
    </row>
    <row r="7148" spans="19:19">
      <c r="S7148" s="109"/>
    </row>
    <row r="7149" spans="19:19">
      <c r="S7149" s="109"/>
    </row>
    <row r="7150" spans="19:19">
      <c r="S7150" s="109"/>
    </row>
    <row r="7151" spans="19:19">
      <c r="S7151" s="109"/>
    </row>
    <row r="7152" spans="19:19">
      <c r="S7152" s="109"/>
    </row>
    <row r="7153" spans="19:19">
      <c r="S7153" s="109"/>
    </row>
    <row r="7154" spans="19:19">
      <c r="S7154" s="109"/>
    </row>
    <row r="7155" spans="19:19">
      <c r="S7155" s="109"/>
    </row>
    <row r="7156" spans="19:19">
      <c r="S7156" s="109"/>
    </row>
    <row r="7157" spans="19:19">
      <c r="S7157" s="109"/>
    </row>
    <row r="7158" spans="19:19">
      <c r="S7158" s="109"/>
    </row>
    <row r="7159" spans="19:19">
      <c r="S7159" s="109"/>
    </row>
    <row r="7160" spans="19:19">
      <c r="S7160" s="109"/>
    </row>
    <row r="7161" spans="19:19">
      <c r="S7161" s="109"/>
    </row>
    <row r="7162" spans="19:19">
      <c r="S7162" s="109"/>
    </row>
    <row r="7163" spans="19:19">
      <c r="S7163" s="109"/>
    </row>
    <row r="7164" spans="19:19">
      <c r="S7164" s="109"/>
    </row>
    <row r="7165" spans="19:19">
      <c r="S7165" s="109"/>
    </row>
    <row r="7166" spans="19:19">
      <c r="S7166" s="109"/>
    </row>
    <row r="7167" spans="19:19">
      <c r="S7167" s="109"/>
    </row>
    <row r="7168" spans="19:19">
      <c r="S7168" s="109"/>
    </row>
    <row r="7169" spans="19:19">
      <c r="S7169" s="109"/>
    </row>
    <row r="7170" spans="19:19">
      <c r="S7170" s="109"/>
    </row>
    <row r="7171" spans="19:19">
      <c r="S7171" s="109"/>
    </row>
    <row r="7172" spans="19:19">
      <c r="S7172" s="109"/>
    </row>
    <row r="7173" spans="19:19">
      <c r="S7173" s="109"/>
    </row>
    <row r="7174" spans="19:19">
      <c r="S7174" s="109"/>
    </row>
    <row r="7175" spans="19:19">
      <c r="S7175" s="109"/>
    </row>
    <row r="7176" spans="19:19">
      <c r="S7176" s="109"/>
    </row>
    <row r="7177" spans="19:19">
      <c r="S7177" s="109"/>
    </row>
    <row r="7178" spans="19:19">
      <c r="S7178" s="109"/>
    </row>
    <row r="7179" spans="19:19">
      <c r="S7179" s="109"/>
    </row>
    <row r="7180" spans="19:19">
      <c r="S7180" s="109"/>
    </row>
    <row r="7181" spans="19:19">
      <c r="S7181" s="109"/>
    </row>
    <row r="7182" spans="19:19">
      <c r="S7182" s="109"/>
    </row>
    <row r="7183" spans="19:19">
      <c r="S7183" s="109"/>
    </row>
    <row r="7184" spans="19:19">
      <c r="S7184" s="109"/>
    </row>
    <row r="7185" spans="19:19">
      <c r="S7185" s="109"/>
    </row>
    <row r="7186" spans="19:19">
      <c r="S7186" s="109"/>
    </row>
    <row r="7187" spans="19:19">
      <c r="S7187" s="109"/>
    </row>
    <row r="7188" spans="19:19">
      <c r="S7188" s="109"/>
    </row>
    <row r="7189" spans="19:19">
      <c r="S7189" s="109"/>
    </row>
    <row r="7190" spans="19:19">
      <c r="S7190" s="109"/>
    </row>
    <row r="7191" spans="19:19">
      <c r="S7191" s="109"/>
    </row>
    <row r="7192" spans="19:19">
      <c r="S7192" s="109"/>
    </row>
    <row r="7193" spans="19:19">
      <c r="S7193" s="109"/>
    </row>
    <row r="7194" spans="19:19">
      <c r="S7194" s="109"/>
    </row>
    <row r="7195" spans="19:19">
      <c r="S7195" s="109"/>
    </row>
    <row r="7196" spans="19:19">
      <c r="S7196" s="109"/>
    </row>
    <row r="7197" spans="19:19">
      <c r="S7197" s="109"/>
    </row>
    <row r="7198" spans="19:19">
      <c r="S7198" s="109"/>
    </row>
    <row r="7199" spans="19:19">
      <c r="S7199" s="109"/>
    </row>
    <row r="7200" spans="19:19">
      <c r="S7200" s="109"/>
    </row>
    <row r="7201" spans="19:19">
      <c r="S7201" s="109"/>
    </row>
    <row r="7202" spans="19:19">
      <c r="S7202" s="109"/>
    </row>
    <row r="7203" spans="19:19">
      <c r="S7203" s="109"/>
    </row>
    <row r="7204" spans="19:19">
      <c r="S7204" s="109"/>
    </row>
    <row r="7205" spans="19:19">
      <c r="S7205" s="109"/>
    </row>
    <row r="7206" spans="19:19">
      <c r="S7206" s="109"/>
    </row>
    <row r="7207" spans="19:19">
      <c r="S7207" s="109"/>
    </row>
    <row r="7208" spans="19:19">
      <c r="S7208" s="109"/>
    </row>
    <row r="7209" spans="19:19">
      <c r="S7209" s="109"/>
    </row>
    <row r="7210" spans="19:19">
      <c r="S7210" s="109"/>
    </row>
    <row r="7211" spans="19:19">
      <c r="S7211" s="109"/>
    </row>
    <row r="7212" spans="19:19">
      <c r="S7212" s="109"/>
    </row>
    <row r="7213" spans="19:19">
      <c r="S7213" s="109"/>
    </row>
    <row r="7214" spans="19:19">
      <c r="S7214" s="109"/>
    </row>
    <row r="7215" spans="19:19">
      <c r="S7215" s="109"/>
    </row>
    <row r="7216" spans="19:19">
      <c r="S7216" s="109"/>
    </row>
    <row r="7217" spans="19:19">
      <c r="S7217" s="109"/>
    </row>
    <row r="7218" spans="19:19">
      <c r="S7218" s="109"/>
    </row>
    <row r="7219" spans="19:19">
      <c r="S7219" s="109"/>
    </row>
    <row r="7220" spans="19:19">
      <c r="S7220" s="109"/>
    </row>
    <row r="7221" spans="19:19">
      <c r="S7221" s="109"/>
    </row>
    <row r="7222" spans="19:19">
      <c r="S7222" s="109"/>
    </row>
    <row r="7223" spans="19:19">
      <c r="S7223" s="109"/>
    </row>
    <row r="7224" spans="19:19">
      <c r="S7224" s="109"/>
    </row>
    <row r="7225" spans="19:19">
      <c r="S7225" s="109"/>
    </row>
    <row r="7226" spans="19:19">
      <c r="S7226" s="109"/>
    </row>
    <row r="7227" spans="19:19">
      <c r="S7227" s="109"/>
    </row>
    <row r="7228" spans="19:19">
      <c r="S7228" s="109"/>
    </row>
    <row r="7229" spans="19:19">
      <c r="S7229" s="109"/>
    </row>
    <row r="7230" spans="19:19">
      <c r="S7230" s="109"/>
    </row>
    <row r="7231" spans="19:19">
      <c r="S7231" s="109"/>
    </row>
    <row r="7232" spans="19:19">
      <c r="S7232" s="109"/>
    </row>
    <row r="7233" spans="19:19">
      <c r="S7233" s="109"/>
    </row>
    <row r="7234" spans="19:19">
      <c r="S7234" s="109"/>
    </row>
    <row r="7235" spans="19:19">
      <c r="S7235" s="109"/>
    </row>
    <row r="7236" spans="19:19">
      <c r="S7236" s="109"/>
    </row>
    <row r="7237" spans="19:19">
      <c r="S7237" s="109"/>
    </row>
    <row r="7238" spans="19:19">
      <c r="S7238" s="109"/>
    </row>
    <row r="7239" spans="19:19">
      <c r="S7239" s="109"/>
    </row>
    <row r="7240" spans="19:19">
      <c r="S7240" s="109"/>
    </row>
    <row r="7241" spans="19:19">
      <c r="S7241" s="109"/>
    </row>
    <row r="7242" spans="19:19">
      <c r="S7242" s="109"/>
    </row>
    <row r="7243" spans="19:19">
      <c r="S7243" s="109"/>
    </row>
    <row r="7244" spans="19:19">
      <c r="S7244" s="109"/>
    </row>
    <row r="7245" spans="19:19">
      <c r="S7245" s="109"/>
    </row>
    <row r="7246" spans="19:19">
      <c r="S7246" s="109"/>
    </row>
    <row r="7247" spans="19:19">
      <c r="S7247" s="109"/>
    </row>
    <row r="7248" spans="19:19">
      <c r="S7248" s="109"/>
    </row>
    <row r="7249" spans="19:19">
      <c r="S7249" s="109"/>
    </row>
    <row r="7250" spans="19:19">
      <c r="S7250" s="109"/>
    </row>
    <row r="7251" spans="19:19">
      <c r="S7251" s="109"/>
    </row>
    <row r="7252" spans="19:19">
      <c r="S7252" s="109"/>
    </row>
    <row r="7253" spans="19:19">
      <c r="S7253" s="109"/>
    </row>
    <row r="7254" spans="19:19">
      <c r="S7254" s="109"/>
    </row>
    <row r="7255" spans="19:19">
      <c r="S7255" s="109"/>
    </row>
    <row r="7256" spans="19:19">
      <c r="S7256" s="109"/>
    </row>
    <row r="7257" spans="19:19">
      <c r="S7257" s="109"/>
    </row>
    <row r="7258" spans="19:19">
      <c r="S7258" s="109"/>
    </row>
    <row r="7259" spans="19:19">
      <c r="S7259" s="109"/>
    </row>
    <row r="7260" spans="19:19">
      <c r="S7260" s="109"/>
    </row>
    <row r="7261" spans="19:19">
      <c r="S7261" s="109"/>
    </row>
    <row r="7262" spans="19:19">
      <c r="S7262" s="109"/>
    </row>
    <row r="7263" spans="19:19">
      <c r="S7263" s="109"/>
    </row>
    <row r="7264" spans="19:19">
      <c r="S7264" s="109"/>
    </row>
    <row r="7265" spans="19:19">
      <c r="S7265" s="109"/>
    </row>
    <row r="7266" spans="19:19">
      <c r="S7266" s="109"/>
    </row>
    <row r="7267" spans="19:19">
      <c r="S7267" s="109"/>
    </row>
    <row r="7268" spans="19:19">
      <c r="S7268" s="109"/>
    </row>
    <row r="7269" spans="19:19">
      <c r="S7269" s="109"/>
    </row>
    <row r="7270" spans="19:19">
      <c r="S7270" s="109"/>
    </row>
    <row r="7271" spans="19:19">
      <c r="S7271" s="109"/>
    </row>
    <row r="7272" spans="19:19">
      <c r="S7272" s="109"/>
    </row>
    <row r="7273" spans="19:19">
      <c r="S7273" s="109"/>
    </row>
    <row r="7274" spans="19:19">
      <c r="S7274" s="109"/>
    </row>
    <row r="7275" spans="19:19">
      <c r="S7275" s="109"/>
    </row>
    <row r="7276" spans="19:19">
      <c r="S7276" s="109"/>
    </row>
    <row r="7277" spans="19:19">
      <c r="S7277" s="109"/>
    </row>
    <row r="7278" spans="19:19">
      <c r="S7278" s="109"/>
    </row>
    <row r="7279" spans="19:19">
      <c r="S7279" s="109"/>
    </row>
    <row r="7280" spans="19:19">
      <c r="S7280" s="109"/>
    </row>
    <row r="7281" spans="19:19">
      <c r="S7281" s="109"/>
    </row>
    <row r="7282" spans="19:19">
      <c r="S7282" s="109"/>
    </row>
    <row r="7283" spans="19:19">
      <c r="S7283" s="109"/>
    </row>
    <row r="7284" spans="19:19">
      <c r="S7284" s="109"/>
    </row>
    <row r="7285" spans="19:19">
      <c r="S7285" s="109"/>
    </row>
    <row r="7286" spans="19:19">
      <c r="S7286" s="109"/>
    </row>
    <row r="7287" spans="19:19">
      <c r="S7287" s="109"/>
    </row>
    <row r="7288" spans="19:19">
      <c r="S7288" s="109"/>
    </row>
    <row r="7289" spans="19:19">
      <c r="S7289" s="109"/>
    </row>
    <row r="7290" spans="19:19">
      <c r="S7290" s="109"/>
    </row>
    <row r="7291" spans="19:19">
      <c r="S7291" s="109"/>
    </row>
    <row r="7292" spans="19:19">
      <c r="S7292" s="109"/>
    </row>
    <row r="7293" spans="19:19">
      <c r="S7293" s="109"/>
    </row>
    <row r="7294" spans="19:19">
      <c r="S7294" s="109"/>
    </row>
    <row r="7295" spans="19:19">
      <c r="S7295" s="109"/>
    </row>
    <row r="7296" spans="19:19">
      <c r="S7296" s="109"/>
    </row>
    <row r="7297" spans="19:19">
      <c r="S7297" s="109"/>
    </row>
    <row r="7298" spans="19:19">
      <c r="S7298" s="109"/>
    </row>
    <row r="7299" spans="19:19">
      <c r="S7299" s="109"/>
    </row>
    <row r="7300" spans="19:19">
      <c r="S7300" s="109"/>
    </row>
    <row r="7301" spans="19:19">
      <c r="S7301" s="109"/>
    </row>
    <row r="7302" spans="19:19">
      <c r="S7302" s="109"/>
    </row>
    <row r="7303" spans="19:19">
      <c r="S7303" s="109"/>
    </row>
    <row r="7304" spans="19:19">
      <c r="S7304" s="109"/>
    </row>
    <row r="7305" spans="19:19">
      <c r="S7305" s="109"/>
    </row>
    <row r="7306" spans="19:19">
      <c r="S7306" s="109"/>
    </row>
    <row r="7307" spans="19:19">
      <c r="S7307" s="109"/>
    </row>
    <row r="7308" spans="19:19">
      <c r="S7308" s="109"/>
    </row>
    <row r="7309" spans="19:19">
      <c r="S7309" s="109"/>
    </row>
    <row r="7310" spans="19:19">
      <c r="S7310" s="109"/>
    </row>
    <row r="7311" spans="19:19">
      <c r="S7311" s="109"/>
    </row>
    <row r="7312" spans="19:19">
      <c r="S7312" s="109"/>
    </row>
    <row r="7313" spans="19:19">
      <c r="S7313" s="109"/>
    </row>
    <row r="7314" spans="19:19">
      <c r="S7314" s="109"/>
    </row>
    <row r="7315" spans="19:19">
      <c r="S7315" s="109"/>
    </row>
    <row r="7316" spans="19:19">
      <c r="S7316" s="109"/>
    </row>
    <row r="7317" spans="19:19">
      <c r="S7317" s="109"/>
    </row>
    <row r="7318" spans="19:19">
      <c r="S7318" s="109"/>
    </row>
    <row r="7319" spans="19:19">
      <c r="S7319" s="109"/>
    </row>
    <row r="7320" spans="19:19">
      <c r="S7320" s="109"/>
    </row>
    <row r="7321" spans="19:19">
      <c r="S7321" s="109"/>
    </row>
    <row r="7322" spans="19:19">
      <c r="S7322" s="109"/>
    </row>
    <row r="7323" spans="19:19">
      <c r="S7323" s="109"/>
    </row>
    <row r="7324" spans="19:19">
      <c r="S7324" s="109"/>
    </row>
    <row r="7325" spans="19:19">
      <c r="S7325" s="109"/>
    </row>
    <row r="7326" spans="19:19">
      <c r="S7326" s="109"/>
    </row>
    <row r="7327" spans="19:19">
      <c r="S7327" s="109"/>
    </row>
    <row r="7328" spans="19:19">
      <c r="S7328" s="109"/>
    </row>
    <row r="7329" spans="19:19">
      <c r="S7329" s="109"/>
    </row>
    <row r="7330" spans="19:19">
      <c r="S7330" s="109"/>
    </row>
    <row r="7331" spans="19:19">
      <c r="S7331" s="109"/>
    </row>
    <row r="7332" spans="19:19">
      <c r="S7332" s="109"/>
    </row>
    <row r="7333" spans="19:19">
      <c r="S7333" s="109"/>
    </row>
    <row r="7334" spans="19:19">
      <c r="S7334" s="109"/>
    </row>
    <row r="7335" spans="19:19">
      <c r="S7335" s="109"/>
    </row>
    <row r="7336" spans="19:19">
      <c r="S7336" s="109"/>
    </row>
    <row r="7337" spans="19:19">
      <c r="S7337" s="109"/>
    </row>
    <row r="7338" spans="19:19">
      <c r="S7338" s="109"/>
    </row>
    <row r="7339" spans="19:19">
      <c r="S7339" s="109"/>
    </row>
    <row r="7340" spans="19:19">
      <c r="S7340" s="109"/>
    </row>
    <row r="7341" spans="19:19">
      <c r="S7341" s="109"/>
    </row>
    <row r="7342" spans="19:19">
      <c r="S7342" s="109"/>
    </row>
    <row r="7343" spans="19:19">
      <c r="S7343" s="109"/>
    </row>
    <row r="7344" spans="19:19">
      <c r="S7344" s="109"/>
    </row>
    <row r="7345" spans="19:19">
      <c r="S7345" s="109"/>
    </row>
    <row r="7346" spans="19:19">
      <c r="S7346" s="109"/>
    </row>
    <row r="7347" spans="19:19">
      <c r="S7347" s="109"/>
    </row>
    <row r="7348" spans="19:19">
      <c r="S7348" s="109"/>
    </row>
    <row r="7349" spans="19:19">
      <c r="S7349" s="109"/>
    </row>
    <row r="7350" spans="19:19">
      <c r="S7350" s="109"/>
    </row>
    <row r="7351" spans="19:19">
      <c r="S7351" s="109"/>
    </row>
    <row r="7352" spans="19:19">
      <c r="S7352" s="109"/>
    </row>
    <row r="7353" spans="19:19">
      <c r="S7353" s="109"/>
    </row>
    <row r="7354" spans="19:19">
      <c r="S7354" s="109"/>
    </row>
    <row r="7355" spans="19:19">
      <c r="S7355" s="109"/>
    </row>
    <row r="7356" spans="19:19">
      <c r="S7356" s="109"/>
    </row>
    <row r="7357" spans="19:19">
      <c r="S7357" s="109"/>
    </row>
    <row r="7358" spans="19:19">
      <c r="S7358" s="109"/>
    </row>
    <row r="7359" spans="19:19">
      <c r="S7359" s="109"/>
    </row>
    <row r="7360" spans="19:19">
      <c r="S7360" s="109"/>
    </row>
    <row r="7361" spans="19:19">
      <c r="S7361" s="109"/>
    </row>
    <row r="7362" spans="19:19">
      <c r="S7362" s="109"/>
    </row>
    <row r="7363" spans="19:19">
      <c r="S7363" s="109"/>
    </row>
    <row r="7364" spans="19:19">
      <c r="S7364" s="109"/>
    </row>
    <row r="7365" spans="19:19">
      <c r="S7365" s="109"/>
    </row>
    <row r="7366" spans="19:19">
      <c r="S7366" s="109"/>
    </row>
    <row r="7367" spans="19:19">
      <c r="S7367" s="109"/>
    </row>
    <row r="7368" spans="19:19">
      <c r="S7368" s="109"/>
    </row>
    <row r="7369" spans="19:19">
      <c r="S7369" s="109"/>
    </row>
    <row r="7370" spans="19:19">
      <c r="S7370" s="109"/>
    </row>
    <row r="7371" spans="19:19">
      <c r="S7371" s="109"/>
    </row>
    <row r="7372" spans="19:19">
      <c r="S7372" s="109"/>
    </row>
    <row r="7373" spans="19:19">
      <c r="S7373" s="109"/>
    </row>
    <row r="7374" spans="19:19">
      <c r="S7374" s="109"/>
    </row>
    <row r="7375" spans="19:19">
      <c r="S7375" s="109"/>
    </row>
    <row r="7376" spans="19:19">
      <c r="S7376" s="109"/>
    </row>
    <row r="7377" spans="19:19">
      <c r="S7377" s="109"/>
    </row>
    <row r="7378" spans="19:19">
      <c r="S7378" s="109"/>
    </row>
    <row r="7379" spans="19:19">
      <c r="S7379" s="109"/>
    </row>
    <row r="7380" spans="19:19">
      <c r="S7380" s="109"/>
    </row>
    <row r="7381" spans="19:19">
      <c r="S7381" s="109"/>
    </row>
    <row r="7382" spans="19:19">
      <c r="S7382" s="109"/>
    </row>
    <row r="7383" spans="19:19">
      <c r="S7383" s="109"/>
    </row>
    <row r="7384" spans="19:19">
      <c r="S7384" s="109"/>
    </row>
    <row r="7385" spans="19:19">
      <c r="S7385" s="109"/>
    </row>
    <row r="7386" spans="19:19">
      <c r="S7386" s="109"/>
    </row>
    <row r="7387" spans="19:19">
      <c r="S7387" s="109"/>
    </row>
    <row r="7388" spans="19:19">
      <c r="S7388" s="109"/>
    </row>
    <row r="7389" spans="19:19">
      <c r="S7389" s="109"/>
    </row>
    <row r="7390" spans="19:19">
      <c r="S7390" s="109"/>
    </row>
    <row r="7391" spans="19:19">
      <c r="S7391" s="109"/>
    </row>
    <row r="7392" spans="19:19">
      <c r="S7392" s="109"/>
    </row>
    <row r="7393" spans="19:19">
      <c r="S7393" s="109"/>
    </row>
    <row r="7394" spans="19:19">
      <c r="S7394" s="109"/>
    </row>
    <row r="7395" spans="19:19">
      <c r="S7395" s="109"/>
    </row>
    <row r="7396" spans="19:19">
      <c r="S7396" s="109"/>
    </row>
    <row r="7397" spans="19:19">
      <c r="S7397" s="109"/>
    </row>
    <row r="7398" spans="19:19">
      <c r="S7398" s="109"/>
    </row>
    <row r="7399" spans="19:19">
      <c r="S7399" s="109"/>
    </row>
    <row r="7400" spans="19:19">
      <c r="S7400" s="109"/>
    </row>
    <row r="7401" spans="19:19">
      <c r="S7401" s="109"/>
    </row>
    <row r="7402" spans="19:19">
      <c r="S7402" s="109"/>
    </row>
    <row r="7403" spans="19:19">
      <c r="S7403" s="109"/>
    </row>
    <row r="7404" spans="19:19">
      <c r="S7404" s="109"/>
    </row>
    <row r="7405" spans="19:19">
      <c r="S7405" s="109"/>
    </row>
    <row r="7406" spans="19:19">
      <c r="S7406" s="109"/>
    </row>
    <row r="7407" spans="19:19">
      <c r="S7407" s="109"/>
    </row>
    <row r="7408" spans="19:19">
      <c r="S7408" s="109"/>
    </row>
    <row r="7409" spans="19:19">
      <c r="S7409" s="109"/>
    </row>
    <row r="7410" spans="19:19">
      <c r="S7410" s="109"/>
    </row>
    <row r="7411" spans="19:19">
      <c r="S7411" s="109"/>
    </row>
    <row r="7412" spans="19:19">
      <c r="S7412" s="109"/>
    </row>
    <row r="7413" spans="19:19">
      <c r="S7413" s="109"/>
    </row>
    <row r="7414" spans="19:19">
      <c r="S7414" s="109"/>
    </row>
    <row r="7415" spans="19:19">
      <c r="S7415" s="109"/>
    </row>
    <row r="7416" spans="19:19">
      <c r="S7416" s="109"/>
    </row>
    <row r="7417" spans="19:19">
      <c r="S7417" s="109"/>
    </row>
    <row r="7418" spans="19:19">
      <c r="S7418" s="109"/>
    </row>
    <row r="7419" spans="19:19">
      <c r="S7419" s="109"/>
    </row>
    <row r="7420" spans="19:19">
      <c r="S7420" s="109"/>
    </row>
    <row r="7421" spans="19:19">
      <c r="S7421" s="109"/>
    </row>
    <row r="7422" spans="19:19">
      <c r="S7422" s="109"/>
    </row>
    <row r="7423" spans="19:19">
      <c r="S7423" s="109"/>
    </row>
    <row r="7424" spans="19:19">
      <c r="S7424" s="109"/>
    </row>
    <row r="7425" spans="19:19">
      <c r="S7425" s="109"/>
    </row>
    <row r="7426" spans="19:19">
      <c r="S7426" s="109"/>
    </row>
    <row r="7427" spans="19:19">
      <c r="S7427" s="109"/>
    </row>
    <row r="7428" spans="19:19">
      <c r="S7428" s="109"/>
    </row>
    <row r="7429" spans="19:19">
      <c r="S7429" s="109"/>
    </row>
    <row r="7430" spans="19:19">
      <c r="S7430" s="109"/>
    </row>
    <row r="7431" spans="19:19">
      <c r="S7431" s="109"/>
    </row>
    <row r="7432" spans="19:19">
      <c r="S7432" s="109"/>
    </row>
    <row r="7433" spans="19:19">
      <c r="S7433" s="109"/>
    </row>
    <row r="7434" spans="19:19">
      <c r="S7434" s="109"/>
    </row>
    <row r="7435" spans="19:19">
      <c r="S7435" s="109"/>
    </row>
    <row r="7436" spans="19:19">
      <c r="S7436" s="109"/>
    </row>
    <row r="7437" spans="19:19">
      <c r="S7437" s="109"/>
    </row>
    <row r="7438" spans="19:19">
      <c r="S7438" s="109"/>
    </row>
    <row r="7439" spans="19:19">
      <c r="S7439" s="109"/>
    </row>
    <row r="7440" spans="19:19">
      <c r="S7440" s="109"/>
    </row>
    <row r="7441" spans="19:19">
      <c r="S7441" s="109"/>
    </row>
    <row r="7442" spans="19:19">
      <c r="S7442" s="109"/>
    </row>
    <row r="7443" spans="19:19">
      <c r="S7443" s="109"/>
    </row>
    <row r="7444" spans="19:19">
      <c r="S7444" s="109"/>
    </row>
    <row r="7445" spans="19:19">
      <c r="S7445" s="109"/>
    </row>
    <row r="7446" spans="19:19">
      <c r="S7446" s="109"/>
    </row>
    <row r="7447" spans="19:19">
      <c r="S7447" s="109"/>
    </row>
    <row r="7448" spans="19:19">
      <c r="S7448" s="109"/>
    </row>
    <row r="7449" spans="19:19">
      <c r="S7449" s="109"/>
    </row>
    <row r="7450" spans="19:19">
      <c r="S7450" s="109"/>
    </row>
    <row r="7451" spans="19:19">
      <c r="S7451" s="109"/>
    </row>
    <row r="7452" spans="19:19">
      <c r="S7452" s="109"/>
    </row>
    <row r="7453" spans="19:19">
      <c r="S7453" s="109"/>
    </row>
    <row r="7454" spans="19:19">
      <c r="S7454" s="109"/>
    </row>
    <row r="7455" spans="19:19">
      <c r="S7455" s="109"/>
    </row>
    <row r="7456" spans="19:19">
      <c r="S7456" s="109"/>
    </row>
    <row r="7457" spans="19:19">
      <c r="S7457" s="109"/>
    </row>
    <row r="7458" spans="19:19">
      <c r="S7458" s="109"/>
    </row>
    <row r="7459" spans="19:19">
      <c r="S7459" s="109"/>
    </row>
    <row r="7460" spans="19:19">
      <c r="S7460" s="109"/>
    </row>
    <row r="7461" spans="19:19">
      <c r="S7461" s="109"/>
    </row>
    <row r="7462" spans="19:19">
      <c r="S7462" s="109"/>
    </row>
    <row r="7463" spans="19:19">
      <c r="S7463" s="109"/>
    </row>
    <row r="7464" spans="19:19">
      <c r="S7464" s="109"/>
    </row>
    <row r="7465" spans="19:19">
      <c r="S7465" s="109"/>
    </row>
    <row r="7466" spans="19:19">
      <c r="S7466" s="109"/>
    </row>
    <row r="7467" spans="19:19">
      <c r="S7467" s="109"/>
    </row>
    <row r="7468" spans="19:19">
      <c r="S7468" s="109"/>
    </row>
    <row r="7469" spans="19:19">
      <c r="S7469" s="109"/>
    </row>
    <row r="7470" spans="19:19">
      <c r="S7470" s="109"/>
    </row>
    <row r="7471" spans="19:19">
      <c r="S7471" s="109"/>
    </row>
    <row r="7472" spans="19:19">
      <c r="S7472" s="109"/>
    </row>
    <row r="7473" spans="19:19">
      <c r="S7473" s="109"/>
    </row>
    <row r="7474" spans="19:19">
      <c r="S7474" s="109"/>
    </row>
    <row r="7475" spans="19:19">
      <c r="S7475" s="109"/>
    </row>
    <row r="7476" spans="19:19">
      <c r="S7476" s="109"/>
    </row>
    <row r="7477" spans="19:19">
      <c r="S7477" s="109"/>
    </row>
    <row r="7478" spans="19:19">
      <c r="S7478" s="109"/>
    </row>
    <row r="7479" spans="19:19">
      <c r="S7479" s="109"/>
    </row>
    <row r="7480" spans="19:19">
      <c r="S7480" s="109"/>
    </row>
    <row r="7481" spans="19:19">
      <c r="S7481" s="109"/>
    </row>
    <row r="7482" spans="19:19">
      <c r="S7482" s="109"/>
    </row>
    <row r="7483" spans="19:19">
      <c r="S7483" s="109"/>
    </row>
    <row r="7484" spans="19:19">
      <c r="S7484" s="109"/>
    </row>
    <row r="7485" spans="19:19">
      <c r="S7485" s="109"/>
    </row>
    <row r="7486" spans="19:19">
      <c r="S7486" s="109"/>
    </row>
    <row r="7487" spans="19:19">
      <c r="S7487" s="109"/>
    </row>
    <row r="7488" spans="19:19">
      <c r="S7488" s="109"/>
    </row>
    <row r="7489" spans="19:19">
      <c r="S7489" s="109"/>
    </row>
    <row r="7490" spans="19:19">
      <c r="S7490" s="109"/>
    </row>
    <row r="7491" spans="19:19">
      <c r="S7491" s="109"/>
    </row>
    <row r="7492" spans="19:19">
      <c r="S7492" s="109"/>
    </row>
    <row r="7493" spans="19:19">
      <c r="S7493" s="109"/>
    </row>
    <row r="7494" spans="19:19">
      <c r="S7494" s="109"/>
    </row>
    <row r="7495" spans="19:19">
      <c r="S7495" s="109"/>
    </row>
    <row r="7496" spans="19:19">
      <c r="S7496" s="109"/>
    </row>
    <row r="7497" spans="19:19">
      <c r="S7497" s="109"/>
    </row>
    <row r="7498" spans="19:19">
      <c r="S7498" s="109"/>
    </row>
    <row r="7499" spans="19:19">
      <c r="S7499" s="109"/>
    </row>
    <row r="7500" spans="19:19">
      <c r="S7500" s="109"/>
    </row>
    <row r="7501" spans="19:19">
      <c r="S7501" s="109"/>
    </row>
    <row r="7502" spans="19:19">
      <c r="S7502" s="109"/>
    </row>
    <row r="7503" spans="19:19">
      <c r="S7503" s="109"/>
    </row>
    <row r="7504" spans="19:19">
      <c r="S7504" s="109"/>
    </row>
    <row r="7505" spans="19:19">
      <c r="S7505" s="109"/>
    </row>
    <row r="7506" spans="19:19">
      <c r="S7506" s="109"/>
    </row>
    <row r="7507" spans="19:19">
      <c r="S7507" s="109"/>
    </row>
    <row r="7508" spans="19:19">
      <c r="S7508" s="109"/>
    </row>
    <row r="7509" spans="19:19">
      <c r="S7509" s="109"/>
    </row>
    <row r="7510" spans="19:19">
      <c r="S7510" s="109"/>
    </row>
    <row r="7511" spans="19:19">
      <c r="S7511" s="109"/>
    </row>
    <row r="7512" spans="19:19">
      <c r="S7512" s="109"/>
    </row>
    <row r="7513" spans="19:19">
      <c r="S7513" s="109"/>
    </row>
    <row r="7514" spans="19:19">
      <c r="S7514" s="109"/>
    </row>
    <row r="7515" spans="19:19">
      <c r="S7515" s="109"/>
    </row>
    <row r="7516" spans="19:19">
      <c r="S7516" s="109"/>
    </row>
    <row r="7517" spans="19:19">
      <c r="S7517" s="109"/>
    </row>
    <row r="7518" spans="19:19">
      <c r="S7518" s="109"/>
    </row>
    <row r="7519" spans="19:19">
      <c r="S7519" s="109"/>
    </row>
    <row r="7520" spans="19:19">
      <c r="S7520" s="109"/>
    </row>
    <row r="7521" spans="19:19">
      <c r="S7521" s="109"/>
    </row>
    <row r="7522" spans="19:19">
      <c r="S7522" s="109"/>
    </row>
    <row r="7523" spans="19:19">
      <c r="S7523" s="109"/>
    </row>
    <row r="7524" spans="19:19">
      <c r="S7524" s="109"/>
    </row>
    <row r="7525" spans="19:19">
      <c r="S7525" s="109"/>
    </row>
    <row r="7526" spans="19:19">
      <c r="S7526" s="109"/>
    </row>
    <row r="7527" spans="19:19">
      <c r="S7527" s="109"/>
    </row>
    <row r="7528" spans="19:19">
      <c r="S7528" s="109"/>
    </row>
    <row r="7529" spans="19:19">
      <c r="S7529" s="109"/>
    </row>
    <row r="7530" spans="19:19">
      <c r="S7530" s="109"/>
    </row>
    <row r="7531" spans="19:19">
      <c r="S7531" s="109"/>
    </row>
    <row r="7532" spans="19:19">
      <c r="S7532" s="109"/>
    </row>
    <row r="7533" spans="19:19">
      <c r="S7533" s="109"/>
    </row>
    <row r="7534" spans="19:19">
      <c r="S7534" s="109"/>
    </row>
    <row r="7535" spans="19:19">
      <c r="S7535" s="109"/>
    </row>
    <row r="7536" spans="19:19">
      <c r="S7536" s="109"/>
    </row>
    <row r="7537" spans="19:19">
      <c r="S7537" s="109"/>
    </row>
    <row r="7538" spans="19:19">
      <c r="S7538" s="109"/>
    </row>
    <row r="7539" spans="19:19">
      <c r="S7539" s="109"/>
    </row>
    <row r="7540" spans="19:19">
      <c r="S7540" s="109"/>
    </row>
    <row r="7541" spans="19:19">
      <c r="S7541" s="109"/>
    </row>
    <row r="7542" spans="19:19">
      <c r="S7542" s="109"/>
    </row>
    <row r="7543" spans="19:19">
      <c r="S7543" s="109"/>
    </row>
    <row r="7544" spans="19:19">
      <c r="S7544" s="109"/>
    </row>
    <row r="7545" spans="19:19">
      <c r="S7545" s="109"/>
    </row>
    <row r="7546" spans="19:19">
      <c r="S7546" s="109"/>
    </row>
    <row r="7547" spans="19:19">
      <c r="S7547" s="109"/>
    </row>
    <row r="7548" spans="19:19">
      <c r="S7548" s="109"/>
    </row>
    <row r="7549" spans="19:19">
      <c r="S7549" s="109"/>
    </row>
    <row r="7550" spans="19:19">
      <c r="S7550" s="109"/>
    </row>
    <row r="7551" spans="19:19">
      <c r="S7551" s="109"/>
    </row>
    <row r="7552" spans="19:19">
      <c r="S7552" s="109"/>
    </row>
    <row r="7553" spans="19:19">
      <c r="S7553" s="109"/>
    </row>
    <row r="7554" spans="19:19">
      <c r="S7554" s="109"/>
    </row>
    <row r="7555" spans="19:19">
      <c r="S7555" s="109"/>
    </row>
    <row r="7556" spans="19:19">
      <c r="S7556" s="109"/>
    </row>
    <row r="7557" spans="19:19">
      <c r="S7557" s="109"/>
    </row>
    <row r="7558" spans="19:19">
      <c r="S7558" s="109"/>
    </row>
    <row r="7559" spans="19:19">
      <c r="S7559" s="109"/>
    </row>
    <row r="7560" spans="19:19">
      <c r="S7560" s="109"/>
    </row>
    <row r="7561" spans="19:19">
      <c r="S7561" s="109"/>
    </row>
    <row r="7562" spans="19:19">
      <c r="S7562" s="109"/>
    </row>
    <row r="7563" spans="19:19">
      <c r="S7563" s="109"/>
    </row>
    <row r="7564" spans="19:19">
      <c r="S7564" s="109"/>
    </row>
    <row r="7565" spans="19:19">
      <c r="S7565" s="109"/>
    </row>
    <row r="7566" spans="19:19">
      <c r="S7566" s="109"/>
    </row>
    <row r="7567" spans="19:19">
      <c r="S7567" s="109"/>
    </row>
    <row r="7568" spans="19:19">
      <c r="S7568" s="109"/>
    </row>
    <row r="7569" spans="19:19">
      <c r="S7569" s="109"/>
    </row>
    <row r="7570" spans="19:19">
      <c r="S7570" s="109"/>
    </row>
    <row r="7571" spans="19:19">
      <c r="S7571" s="109"/>
    </row>
    <row r="7572" spans="19:19">
      <c r="S7572" s="109"/>
    </row>
    <row r="7573" spans="19:19">
      <c r="S7573" s="109"/>
    </row>
    <row r="7574" spans="19:19">
      <c r="S7574" s="109"/>
    </row>
    <row r="7575" spans="19:19">
      <c r="S7575" s="109"/>
    </row>
    <row r="7576" spans="19:19">
      <c r="S7576" s="109"/>
    </row>
    <row r="7577" spans="19:19">
      <c r="S7577" s="109"/>
    </row>
    <row r="7578" spans="19:19">
      <c r="S7578" s="109"/>
    </row>
    <row r="7579" spans="19:19">
      <c r="S7579" s="109"/>
    </row>
    <row r="7580" spans="19:19">
      <c r="S7580" s="109"/>
    </row>
    <row r="7581" spans="19:19">
      <c r="S7581" s="109"/>
    </row>
    <row r="7582" spans="19:19">
      <c r="S7582" s="109"/>
    </row>
    <row r="7583" spans="19:19">
      <c r="S7583" s="109"/>
    </row>
    <row r="7584" spans="19:19">
      <c r="S7584" s="109"/>
    </row>
    <row r="7585" spans="19:19">
      <c r="S7585" s="109"/>
    </row>
    <row r="7586" spans="19:19">
      <c r="S7586" s="109"/>
    </row>
    <row r="7587" spans="19:19">
      <c r="S7587" s="109"/>
    </row>
    <row r="7588" spans="19:19">
      <c r="S7588" s="109"/>
    </row>
    <row r="7589" spans="19:19">
      <c r="S7589" s="109"/>
    </row>
    <row r="7590" spans="19:19">
      <c r="S7590" s="109"/>
    </row>
    <row r="7591" spans="19:19">
      <c r="S7591" s="109"/>
    </row>
    <row r="7592" spans="19:19">
      <c r="S7592" s="109"/>
    </row>
    <row r="7593" spans="19:19">
      <c r="S7593" s="109"/>
    </row>
    <row r="7594" spans="19:19">
      <c r="S7594" s="109"/>
    </row>
    <row r="7595" spans="19:19">
      <c r="S7595" s="109"/>
    </row>
    <row r="7596" spans="19:19">
      <c r="S7596" s="109"/>
    </row>
    <row r="7597" spans="19:19">
      <c r="S7597" s="109"/>
    </row>
    <row r="7598" spans="19:19">
      <c r="S7598" s="109"/>
    </row>
    <row r="7599" spans="19:19">
      <c r="S7599" s="109"/>
    </row>
    <row r="7600" spans="19:19">
      <c r="S7600" s="109"/>
    </row>
    <row r="7601" spans="19:19">
      <c r="S7601" s="109"/>
    </row>
    <row r="7602" spans="19:19">
      <c r="S7602" s="109"/>
    </row>
    <row r="7603" spans="19:19">
      <c r="S7603" s="109"/>
    </row>
    <row r="7604" spans="19:19">
      <c r="S7604" s="109"/>
    </row>
    <row r="7605" spans="19:19">
      <c r="S7605" s="109"/>
    </row>
    <row r="7606" spans="19:19">
      <c r="S7606" s="109"/>
    </row>
    <row r="7607" spans="19:19">
      <c r="S7607" s="109"/>
    </row>
    <row r="7608" spans="19:19">
      <c r="S7608" s="109"/>
    </row>
    <row r="7609" spans="19:19">
      <c r="S7609" s="109"/>
    </row>
    <row r="7610" spans="19:19">
      <c r="S7610" s="109"/>
    </row>
    <row r="7611" spans="19:19">
      <c r="S7611" s="109"/>
    </row>
    <row r="7612" spans="19:19">
      <c r="S7612" s="109"/>
    </row>
    <row r="7613" spans="19:19">
      <c r="S7613" s="109"/>
    </row>
    <row r="7614" spans="19:19">
      <c r="S7614" s="109"/>
    </row>
    <row r="7615" spans="19:19">
      <c r="S7615" s="109"/>
    </row>
    <row r="7616" spans="19:19">
      <c r="S7616" s="109"/>
    </row>
    <row r="7617" spans="19:19">
      <c r="S7617" s="109"/>
    </row>
    <row r="7618" spans="19:19">
      <c r="S7618" s="109"/>
    </row>
    <row r="7619" spans="19:19">
      <c r="S7619" s="109"/>
    </row>
    <row r="7620" spans="19:19">
      <c r="S7620" s="109"/>
    </row>
    <row r="7621" spans="19:19">
      <c r="S7621" s="109"/>
    </row>
    <row r="7622" spans="19:19">
      <c r="S7622" s="109"/>
    </row>
    <row r="7623" spans="19:19">
      <c r="S7623" s="109"/>
    </row>
    <row r="7624" spans="19:19">
      <c r="S7624" s="109"/>
    </row>
    <row r="7625" spans="19:19">
      <c r="S7625" s="109"/>
    </row>
    <row r="7626" spans="19:19">
      <c r="S7626" s="109"/>
    </row>
    <row r="7627" spans="19:19">
      <c r="S7627" s="109"/>
    </row>
    <row r="7628" spans="19:19">
      <c r="S7628" s="109"/>
    </row>
    <row r="7629" spans="19:19">
      <c r="S7629" s="109"/>
    </row>
    <row r="7630" spans="19:19">
      <c r="S7630" s="109"/>
    </row>
    <row r="7631" spans="19:19">
      <c r="S7631" s="109"/>
    </row>
    <row r="7632" spans="19:19">
      <c r="S7632" s="109"/>
    </row>
    <row r="7633" spans="19:19">
      <c r="S7633" s="109"/>
    </row>
    <row r="7634" spans="19:19">
      <c r="S7634" s="109"/>
    </row>
    <row r="7635" spans="19:19">
      <c r="S7635" s="109"/>
    </row>
    <row r="7636" spans="19:19">
      <c r="S7636" s="109"/>
    </row>
    <row r="7637" spans="19:19">
      <c r="S7637" s="109"/>
    </row>
    <row r="7638" spans="19:19">
      <c r="S7638" s="109"/>
    </row>
    <row r="7639" spans="19:19">
      <c r="S7639" s="109"/>
    </row>
    <row r="7640" spans="19:19">
      <c r="S7640" s="109"/>
    </row>
    <row r="7641" spans="19:19">
      <c r="S7641" s="109"/>
    </row>
    <row r="7642" spans="19:19">
      <c r="S7642" s="109"/>
    </row>
    <row r="7643" spans="19:19">
      <c r="S7643" s="109"/>
    </row>
    <row r="7644" spans="19:19">
      <c r="S7644" s="109"/>
    </row>
    <row r="7645" spans="19:19">
      <c r="S7645" s="109"/>
    </row>
    <row r="7646" spans="19:19">
      <c r="S7646" s="109"/>
    </row>
    <row r="7647" spans="19:19">
      <c r="S7647" s="109"/>
    </row>
    <row r="7648" spans="19:19">
      <c r="S7648" s="109"/>
    </row>
    <row r="7649" spans="19:19">
      <c r="S7649" s="109"/>
    </row>
    <row r="7650" spans="19:19">
      <c r="S7650" s="109"/>
    </row>
    <row r="7651" spans="19:19">
      <c r="S7651" s="109"/>
    </row>
    <row r="7652" spans="19:19">
      <c r="S7652" s="109"/>
    </row>
    <row r="7653" spans="19:19">
      <c r="S7653" s="109"/>
    </row>
    <row r="7654" spans="19:19">
      <c r="S7654" s="109"/>
    </row>
    <row r="7655" spans="19:19">
      <c r="S7655" s="109"/>
    </row>
    <row r="7656" spans="19:19">
      <c r="S7656" s="109"/>
    </row>
    <row r="7657" spans="19:19">
      <c r="S7657" s="109"/>
    </row>
    <row r="7658" spans="19:19">
      <c r="S7658" s="109"/>
    </row>
    <row r="7659" spans="19:19">
      <c r="S7659" s="109"/>
    </row>
    <row r="7660" spans="19:19">
      <c r="S7660" s="109"/>
    </row>
    <row r="7661" spans="19:19">
      <c r="S7661" s="109"/>
    </row>
    <row r="7662" spans="19:19">
      <c r="S7662" s="109"/>
    </row>
    <row r="7663" spans="19:19">
      <c r="S7663" s="109"/>
    </row>
    <row r="7664" spans="19:19">
      <c r="S7664" s="109"/>
    </row>
    <row r="7665" spans="19:19">
      <c r="S7665" s="109"/>
    </row>
    <row r="7666" spans="19:19">
      <c r="S7666" s="109"/>
    </row>
    <row r="7667" spans="19:19">
      <c r="S7667" s="109"/>
    </row>
    <row r="7668" spans="19:19">
      <c r="S7668" s="109"/>
    </row>
    <row r="7669" spans="19:19">
      <c r="S7669" s="109"/>
    </row>
    <row r="7670" spans="19:19">
      <c r="S7670" s="109"/>
    </row>
    <row r="7671" spans="19:19">
      <c r="S7671" s="109"/>
    </row>
    <row r="7672" spans="19:19">
      <c r="S7672" s="109"/>
    </row>
    <row r="7673" spans="19:19">
      <c r="S7673" s="109"/>
    </row>
    <row r="7674" spans="19:19">
      <c r="S7674" s="109"/>
    </row>
    <row r="7675" spans="19:19">
      <c r="S7675" s="109"/>
    </row>
    <row r="7676" spans="19:19">
      <c r="S7676" s="109"/>
    </row>
    <row r="7677" spans="19:19">
      <c r="S7677" s="109"/>
    </row>
    <row r="7678" spans="19:19">
      <c r="S7678" s="109"/>
    </row>
    <row r="7679" spans="19:19">
      <c r="S7679" s="109"/>
    </row>
    <row r="7680" spans="19:19">
      <c r="S7680" s="109"/>
    </row>
    <row r="7681" spans="19:19">
      <c r="S7681" s="109"/>
    </row>
    <row r="7682" spans="19:19">
      <c r="S7682" s="109"/>
    </row>
    <row r="7683" spans="19:19">
      <c r="S7683" s="109"/>
    </row>
    <row r="7684" spans="19:19">
      <c r="S7684" s="109"/>
    </row>
    <row r="7685" spans="19:19">
      <c r="S7685" s="109"/>
    </row>
    <row r="7686" spans="19:19">
      <c r="S7686" s="109"/>
    </row>
    <row r="7687" spans="19:19">
      <c r="S7687" s="109"/>
    </row>
    <row r="7688" spans="19:19">
      <c r="S7688" s="109"/>
    </row>
    <row r="7689" spans="19:19">
      <c r="S7689" s="109"/>
    </row>
    <row r="7690" spans="19:19">
      <c r="S7690" s="109"/>
    </row>
    <row r="7691" spans="19:19">
      <c r="S7691" s="109"/>
    </row>
    <row r="7692" spans="19:19">
      <c r="S7692" s="109"/>
    </row>
    <row r="7693" spans="19:19">
      <c r="S7693" s="109"/>
    </row>
    <row r="7694" spans="19:19">
      <c r="S7694" s="109"/>
    </row>
    <row r="7695" spans="19:19">
      <c r="S7695" s="109"/>
    </row>
    <row r="7696" spans="19:19">
      <c r="S7696" s="109"/>
    </row>
    <row r="7697" spans="19:19">
      <c r="S7697" s="109"/>
    </row>
    <row r="7698" spans="19:19">
      <c r="S7698" s="109"/>
    </row>
    <row r="7699" spans="19:19">
      <c r="S7699" s="109"/>
    </row>
    <row r="7700" spans="19:19">
      <c r="S7700" s="109"/>
    </row>
    <row r="7701" spans="19:19">
      <c r="S7701" s="109"/>
    </row>
    <row r="7702" spans="19:19">
      <c r="S7702" s="109"/>
    </row>
    <row r="7703" spans="19:19">
      <c r="S7703" s="109"/>
    </row>
    <row r="7704" spans="19:19">
      <c r="S7704" s="109"/>
    </row>
    <row r="7705" spans="19:19">
      <c r="S7705" s="109"/>
    </row>
    <row r="7706" spans="19:19">
      <c r="S7706" s="109"/>
    </row>
    <row r="7707" spans="19:19">
      <c r="S7707" s="109"/>
    </row>
    <row r="7708" spans="19:19">
      <c r="S7708" s="109"/>
    </row>
    <row r="7709" spans="19:19">
      <c r="S7709" s="109"/>
    </row>
    <row r="7710" spans="19:19">
      <c r="S7710" s="109"/>
    </row>
    <row r="7711" spans="19:19">
      <c r="S7711" s="109"/>
    </row>
    <row r="7712" spans="19:19">
      <c r="S7712" s="109"/>
    </row>
    <row r="7713" spans="19:19">
      <c r="S7713" s="109"/>
    </row>
    <row r="7714" spans="19:19">
      <c r="S7714" s="109"/>
    </row>
    <row r="7715" spans="19:19">
      <c r="S7715" s="109"/>
    </row>
    <row r="7716" spans="19:19">
      <c r="S7716" s="109"/>
    </row>
    <row r="7717" spans="19:19">
      <c r="S7717" s="109"/>
    </row>
    <row r="7718" spans="19:19">
      <c r="S7718" s="109"/>
    </row>
    <row r="7719" spans="19:19">
      <c r="S7719" s="109"/>
    </row>
    <row r="7720" spans="19:19">
      <c r="S7720" s="109"/>
    </row>
    <row r="7721" spans="19:19">
      <c r="S7721" s="109"/>
    </row>
    <row r="7722" spans="19:19">
      <c r="S7722" s="109"/>
    </row>
    <row r="7723" spans="19:19">
      <c r="S7723" s="109"/>
    </row>
    <row r="7724" spans="19:19">
      <c r="S7724" s="109"/>
    </row>
    <row r="7725" spans="19:19">
      <c r="S7725" s="109"/>
    </row>
    <row r="7726" spans="19:19">
      <c r="S7726" s="109"/>
    </row>
    <row r="7727" spans="19:19">
      <c r="S7727" s="109"/>
    </row>
    <row r="7728" spans="19:19">
      <c r="S7728" s="109"/>
    </row>
    <row r="7729" spans="19:19">
      <c r="S7729" s="109"/>
    </row>
    <row r="7730" spans="19:19">
      <c r="S7730" s="109"/>
    </row>
    <row r="7731" spans="19:19">
      <c r="S7731" s="109"/>
    </row>
    <row r="7732" spans="19:19">
      <c r="S7732" s="109"/>
    </row>
    <row r="7733" spans="19:19">
      <c r="S7733" s="109"/>
    </row>
    <row r="7734" spans="19:19">
      <c r="S7734" s="109"/>
    </row>
    <row r="7735" spans="19:19">
      <c r="S7735" s="109"/>
    </row>
    <row r="7736" spans="19:19">
      <c r="S7736" s="109"/>
    </row>
    <row r="7737" spans="19:19">
      <c r="S7737" s="109"/>
    </row>
    <row r="7738" spans="19:19">
      <c r="S7738" s="109"/>
    </row>
    <row r="7739" spans="19:19">
      <c r="S7739" s="109"/>
    </row>
    <row r="7740" spans="19:19">
      <c r="S7740" s="109"/>
    </row>
    <row r="7741" spans="19:19">
      <c r="S7741" s="109"/>
    </row>
    <row r="7742" spans="19:19">
      <c r="S7742" s="109"/>
    </row>
    <row r="7743" spans="19:19">
      <c r="S7743" s="109"/>
    </row>
    <row r="7744" spans="19:19">
      <c r="S7744" s="109"/>
    </row>
    <row r="7745" spans="19:19">
      <c r="S7745" s="109"/>
    </row>
    <row r="7746" spans="19:19">
      <c r="S7746" s="109"/>
    </row>
    <row r="7747" spans="19:19">
      <c r="S7747" s="109"/>
    </row>
    <row r="7748" spans="19:19">
      <c r="S7748" s="109"/>
    </row>
    <row r="7749" spans="19:19">
      <c r="S7749" s="109"/>
    </row>
    <row r="7750" spans="19:19">
      <c r="S7750" s="109"/>
    </row>
    <row r="7751" spans="19:19">
      <c r="S7751" s="109"/>
    </row>
    <row r="7752" spans="19:19">
      <c r="S7752" s="109"/>
    </row>
    <row r="7753" spans="19:19">
      <c r="S7753" s="109"/>
    </row>
    <row r="7754" spans="19:19">
      <c r="S7754" s="109"/>
    </row>
    <row r="7755" spans="19:19">
      <c r="S7755" s="109"/>
    </row>
    <row r="7756" spans="19:19">
      <c r="S7756" s="109"/>
    </row>
    <row r="7757" spans="19:19">
      <c r="S7757" s="109"/>
    </row>
    <row r="7758" spans="19:19">
      <c r="S7758" s="109"/>
    </row>
    <row r="7759" spans="19:19">
      <c r="S7759" s="109"/>
    </row>
    <row r="7760" spans="19:19">
      <c r="S7760" s="109"/>
    </row>
    <row r="7761" spans="19:19">
      <c r="S7761" s="109"/>
    </row>
    <row r="7762" spans="19:19">
      <c r="S7762" s="109"/>
    </row>
    <row r="7763" spans="19:19">
      <c r="S7763" s="109"/>
    </row>
    <row r="7764" spans="19:19">
      <c r="S7764" s="109"/>
    </row>
    <row r="7765" spans="19:19">
      <c r="S7765" s="109"/>
    </row>
    <row r="7766" spans="19:19">
      <c r="S7766" s="109"/>
    </row>
    <row r="7767" spans="19:19">
      <c r="S7767" s="109"/>
    </row>
    <row r="7768" spans="19:19">
      <c r="S7768" s="109"/>
    </row>
    <row r="7769" spans="19:19">
      <c r="S7769" s="109"/>
    </row>
    <row r="7770" spans="19:19">
      <c r="S7770" s="109"/>
    </row>
    <row r="7771" spans="19:19">
      <c r="S7771" s="109"/>
    </row>
    <row r="7772" spans="19:19">
      <c r="S7772" s="109"/>
    </row>
    <row r="7773" spans="19:19">
      <c r="S7773" s="109"/>
    </row>
    <row r="7774" spans="19:19">
      <c r="S7774" s="109"/>
    </row>
    <row r="7775" spans="19:19">
      <c r="S7775" s="109"/>
    </row>
    <row r="7776" spans="19:19">
      <c r="S7776" s="109"/>
    </row>
    <row r="7777" spans="19:19">
      <c r="S7777" s="109"/>
    </row>
    <row r="7778" spans="19:19">
      <c r="S7778" s="109"/>
    </row>
    <row r="7779" spans="19:19">
      <c r="S7779" s="109"/>
    </row>
    <row r="7780" spans="19:19">
      <c r="S7780" s="109"/>
    </row>
    <row r="7781" spans="19:19">
      <c r="S7781" s="109"/>
    </row>
    <row r="7782" spans="19:19">
      <c r="S7782" s="109"/>
    </row>
    <row r="7783" spans="19:19">
      <c r="S7783" s="109"/>
    </row>
    <row r="7784" spans="19:19">
      <c r="S7784" s="109"/>
    </row>
    <row r="7785" spans="19:19">
      <c r="S7785" s="109"/>
    </row>
    <row r="7786" spans="19:19">
      <c r="S7786" s="109"/>
    </row>
    <row r="7787" spans="19:19">
      <c r="S7787" s="109"/>
    </row>
    <row r="7788" spans="19:19">
      <c r="S7788" s="109"/>
    </row>
    <row r="7789" spans="19:19">
      <c r="S7789" s="109"/>
    </row>
    <row r="7790" spans="19:19">
      <c r="S7790" s="109"/>
    </row>
    <row r="7791" spans="19:19">
      <c r="S7791" s="109"/>
    </row>
    <row r="7792" spans="19:19">
      <c r="S7792" s="109"/>
    </row>
    <row r="7793" spans="19:19">
      <c r="S7793" s="109"/>
    </row>
    <row r="7794" spans="19:19">
      <c r="S7794" s="109"/>
    </row>
    <row r="7795" spans="19:19">
      <c r="S7795" s="109"/>
    </row>
    <row r="7796" spans="19:19">
      <c r="S7796" s="109"/>
    </row>
    <row r="7797" spans="19:19">
      <c r="S7797" s="109"/>
    </row>
    <row r="7798" spans="19:19">
      <c r="S7798" s="109"/>
    </row>
    <row r="7799" spans="19:19">
      <c r="S7799" s="109"/>
    </row>
    <row r="7800" spans="19:19">
      <c r="S7800" s="109"/>
    </row>
    <row r="7801" spans="19:19">
      <c r="S7801" s="109"/>
    </row>
    <row r="7802" spans="19:19">
      <c r="S7802" s="109"/>
    </row>
    <row r="7803" spans="19:19">
      <c r="S7803" s="109"/>
    </row>
    <row r="7804" spans="19:19">
      <c r="S7804" s="109"/>
    </row>
    <row r="7805" spans="19:19">
      <c r="S7805" s="109"/>
    </row>
    <row r="7806" spans="19:19">
      <c r="S7806" s="109"/>
    </row>
    <row r="7807" spans="19:19">
      <c r="S7807" s="109"/>
    </row>
    <row r="7808" spans="19:19">
      <c r="S7808" s="109"/>
    </row>
    <row r="7809" spans="19:19">
      <c r="S7809" s="109"/>
    </row>
    <row r="7810" spans="19:19">
      <c r="S7810" s="109"/>
    </row>
    <row r="7811" spans="19:19">
      <c r="S7811" s="109"/>
    </row>
    <row r="7812" spans="19:19">
      <c r="S7812" s="109"/>
    </row>
    <row r="7813" spans="19:19">
      <c r="S7813" s="109"/>
    </row>
    <row r="7814" spans="19:19">
      <c r="S7814" s="109"/>
    </row>
    <row r="7815" spans="19:19">
      <c r="S7815" s="109"/>
    </row>
    <row r="7816" spans="19:19">
      <c r="S7816" s="109"/>
    </row>
    <row r="7817" spans="19:19">
      <c r="S7817" s="109"/>
    </row>
    <row r="7818" spans="19:19">
      <c r="S7818" s="109"/>
    </row>
    <row r="7819" spans="19:19">
      <c r="S7819" s="109"/>
    </row>
    <row r="7820" spans="19:19">
      <c r="S7820" s="109"/>
    </row>
    <row r="7821" spans="19:19">
      <c r="S7821" s="109"/>
    </row>
    <row r="7822" spans="19:19">
      <c r="S7822" s="109"/>
    </row>
    <row r="7823" spans="19:19">
      <c r="S7823" s="109"/>
    </row>
    <row r="7824" spans="19:19">
      <c r="S7824" s="109"/>
    </row>
    <row r="7825" spans="19:19">
      <c r="S7825" s="109"/>
    </row>
    <row r="7826" spans="19:19">
      <c r="S7826" s="109"/>
    </row>
    <row r="7827" spans="19:19">
      <c r="S7827" s="109"/>
    </row>
    <row r="7828" spans="19:19">
      <c r="S7828" s="109"/>
    </row>
    <row r="7829" spans="19:19">
      <c r="S7829" s="109"/>
    </row>
    <row r="7830" spans="19:19">
      <c r="S7830" s="109"/>
    </row>
    <row r="7831" spans="19:19">
      <c r="S7831" s="109"/>
    </row>
    <row r="7832" spans="19:19">
      <c r="S7832" s="109"/>
    </row>
    <row r="7833" spans="19:19">
      <c r="S7833" s="109"/>
    </row>
    <row r="7834" spans="19:19">
      <c r="S7834" s="109"/>
    </row>
    <row r="7835" spans="19:19">
      <c r="S7835" s="109"/>
    </row>
    <row r="7836" spans="19:19">
      <c r="S7836" s="109"/>
    </row>
    <row r="7837" spans="19:19">
      <c r="S7837" s="109"/>
    </row>
    <row r="7838" spans="19:19">
      <c r="S7838" s="109"/>
    </row>
    <row r="7839" spans="19:19">
      <c r="S7839" s="109"/>
    </row>
    <row r="7840" spans="19:19">
      <c r="S7840" s="109"/>
    </row>
    <row r="7841" spans="19:19">
      <c r="S7841" s="109"/>
    </row>
    <row r="7842" spans="19:19">
      <c r="S7842" s="109"/>
    </row>
    <row r="7843" spans="19:19">
      <c r="S7843" s="109"/>
    </row>
    <row r="7844" spans="19:19">
      <c r="S7844" s="109"/>
    </row>
    <row r="7845" spans="19:19">
      <c r="S7845" s="109"/>
    </row>
    <row r="7846" spans="19:19">
      <c r="S7846" s="109"/>
    </row>
    <row r="7847" spans="19:19">
      <c r="S7847" s="109"/>
    </row>
    <row r="7848" spans="19:19">
      <c r="S7848" s="109"/>
    </row>
    <row r="7849" spans="19:19">
      <c r="S7849" s="109"/>
    </row>
    <row r="7850" spans="19:19">
      <c r="S7850" s="109"/>
    </row>
    <row r="7851" spans="19:19">
      <c r="S7851" s="109"/>
    </row>
    <row r="7852" spans="19:19">
      <c r="S7852" s="109"/>
    </row>
    <row r="7853" spans="19:19">
      <c r="S7853" s="109"/>
    </row>
    <row r="7854" spans="19:19">
      <c r="S7854" s="109"/>
    </row>
    <row r="7855" spans="19:19">
      <c r="S7855" s="109"/>
    </row>
    <row r="7856" spans="19:19">
      <c r="S7856" s="109"/>
    </row>
    <row r="7857" spans="19:19">
      <c r="S7857" s="109"/>
    </row>
    <row r="7858" spans="19:19">
      <c r="S7858" s="109"/>
    </row>
    <row r="7859" spans="19:19">
      <c r="S7859" s="109"/>
    </row>
    <row r="7860" spans="19:19">
      <c r="S7860" s="109"/>
    </row>
    <row r="7861" spans="19:19">
      <c r="S7861" s="109"/>
    </row>
    <row r="7862" spans="19:19">
      <c r="S7862" s="109"/>
    </row>
    <row r="7863" spans="19:19">
      <c r="S7863" s="109"/>
    </row>
    <row r="7864" spans="19:19">
      <c r="S7864" s="109"/>
    </row>
    <row r="7865" spans="19:19">
      <c r="S7865" s="109"/>
    </row>
    <row r="7866" spans="19:19">
      <c r="S7866" s="109"/>
    </row>
    <row r="7867" spans="19:19">
      <c r="S7867" s="109"/>
    </row>
    <row r="7868" spans="19:19">
      <c r="S7868" s="109"/>
    </row>
    <row r="7869" spans="19:19">
      <c r="S7869" s="109"/>
    </row>
    <row r="7870" spans="19:19">
      <c r="S7870" s="109"/>
    </row>
    <row r="7871" spans="19:19">
      <c r="S7871" s="109"/>
    </row>
    <row r="7872" spans="19:19">
      <c r="S7872" s="109"/>
    </row>
    <row r="7873" spans="19:19">
      <c r="S7873" s="109"/>
    </row>
    <row r="7874" spans="19:19">
      <c r="S7874" s="109"/>
    </row>
    <row r="7875" spans="19:19">
      <c r="S7875" s="109"/>
    </row>
    <row r="7876" spans="19:19">
      <c r="S7876" s="109"/>
    </row>
    <row r="7877" spans="19:19">
      <c r="S7877" s="109"/>
    </row>
    <row r="7878" spans="19:19">
      <c r="S7878" s="109"/>
    </row>
    <row r="7879" spans="19:19">
      <c r="S7879" s="109"/>
    </row>
    <row r="7880" spans="19:19">
      <c r="S7880" s="109"/>
    </row>
    <row r="7881" spans="19:19">
      <c r="S7881" s="109"/>
    </row>
    <row r="7882" spans="19:19">
      <c r="S7882" s="109"/>
    </row>
    <row r="7883" spans="19:19">
      <c r="S7883" s="109"/>
    </row>
    <row r="7884" spans="19:19">
      <c r="S7884" s="109"/>
    </row>
    <row r="7885" spans="19:19">
      <c r="S7885" s="109"/>
    </row>
    <row r="7886" spans="19:19">
      <c r="S7886" s="109"/>
    </row>
    <row r="7887" spans="19:19">
      <c r="S7887" s="109"/>
    </row>
    <row r="7888" spans="19:19">
      <c r="S7888" s="109"/>
    </row>
    <row r="7889" spans="19:19">
      <c r="S7889" s="109"/>
    </row>
    <row r="7890" spans="19:19">
      <c r="S7890" s="109"/>
    </row>
    <row r="7891" spans="19:19">
      <c r="S7891" s="109"/>
    </row>
    <row r="7892" spans="19:19">
      <c r="S7892" s="109"/>
    </row>
    <row r="7893" spans="19:19">
      <c r="S7893" s="109"/>
    </row>
    <row r="7894" spans="19:19">
      <c r="S7894" s="109"/>
    </row>
    <row r="7895" spans="19:19">
      <c r="S7895" s="109"/>
    </row>
    <row r="7896" spans="19:19">
      <c r="S7896" s="109"/>
    </row>
    <row r="7897" spans="19:19">
      <c r="S7897" s="109"/>
    </row>
    <row r="7898" spans="19:19">
      <c r="S7898" s="109"/>
    </row>
    <row r="7899" spans="19:19">
      <c r="S7899" s="109"/>
    </row>
    <row r="7900" spans="19:19">
      <c r="S7900" s="109"/>
    </row>
    <row r="7901" spans="19:19">
      <c r="S7901" s="109"/>
    </row>
    <row r="7902" spans="19:19">
      <c r="S7902" s="109"/>
    </row>
    <row r="7903" spans="19:19">
      <c r="S7903" s="109"/>
    </row>
    <row r="7904" spans="19:19">
      <c r="S7904" s="109"/>
    </row>
    <row r="7905" spans="19:19">
      <c r="S7905" s="109"/>
    </row>
    <row r="7906" spans="19:19">
      <c r="S7906" s="109"/>
    </row>
    <row r="7907" spans="19:19">
      <c r="S7907" s="109"/>
    </row>
    <row r="7908" spans="19:19">
      <c r="S7908" s="109"/>
    </row>
    <row r="7909" spans="19:19">
      <c r="S7909" s="109"/>
    </row>
    <row r="7910" spans="19:19">
      <c r="S7910" s="109"/>
    </row>
    <row r="7911" spans="19:19">
      <c r="S7911" s="109"/>
    </row>
    <row r="7912" spans="19:19">
      <c r="S7912" s="109"/>
    </row>
    <row r="7913" spans="19:19">
      <c r="S7913" s="109"/>
    </row>
    <row r="7914" spans="19:19">
      <c r="S7914" s="109"/>
    </row>
    <row r="7915" spans="19:19">
      <c r="S7915" s="109"/>
    </row>
    <row r="7916" spans="19:19">
      <c r="S7916" s="109"/>
    </row>
    <row r="7917" spans="19:19">
      <c r="S7917" s="109"/>
    </row>
    <row r="7918" spans="19:19">
      <c r="S7918" s="109"/>
    </row>
    <row r="7919" spans="19:19">
      <c r="S7919" s="109"/>
    </row>
    <row r="7920" spans="19:19">
      <c r="S7920" s="109"/>
    </row>
    <row r="7921" spans="19:19">
      <c r="S7921" s="109"/>
    </row>
    <row r="7922" spans="19:19">
      <c r="S7922" s="109"/>
    </row>
    <row r="7923" spans="19:19">
      <c r="S7923" s="109"/>
    </row>
    <row r="7924" spans="19:19">
      <c r="S7924" s="109"/>
    </row>
    <row r="7925" spans="19:19">
      <c r="S7925" s="109"/>
    </row>
    <row r="7926" spans="19:19">
      <c r="S7926" s="109"/>
    </row>
    <row r="7927" spans="19:19">
      <c r="S7927" s="109"/>
    </row>
    <row r="7928" spans="19:19">
      <c r="S7928" s="109"/>
    </row>
    <row r="7929" spans="19:19">
      <c r="S7929" s="109"/>
    </row>
    <row r="7930" spans="19:19">
      <c r="S7930" s="109"/>
    </row>
    <row r="7931" spans="19:19">
      <c r="S7931" s="109"/>
    </row>
    <row r="7932" spans="19:19">
      <c r="S7932" s="109"/>
    </row>
    <row r="7933" spans="19:19">
      <c r="S7933" s="109"/>
    </row>
    <row r="7934" spans="19:19">
      <c r="S7934" s="109"/>
    </row>
    <row r="7935" spans="19:19">
      <c r="S7935" s="109"/>
    </row>
    <row r="7936" spans="19:19">
      <c r="S7936" s="109"/>
    </row>
    <row r="7937" spans="19:19">
      <c r="S7937" s="109"/>
    </row>
    <row r="7938" spans="19:19">
      <c r="S7938" s="109"/>
    </row>
    <row r="7939" spans="19:19">
      <c r="S7939" s="109"/>
    </row>
    <row r="7940" spans="19:19">
      <c r="S7940" s="109"/>
    </row>
    <row r="7941" spans="19:19">
      <c r="S7941" s="109"/>
    </row>
    <row r="7942" spans="19:19">
      <c r="S7942" s="109"/>
    </row>
    <row r="7943" spans="19:19">
      <c r="S7943" s="109"/>
    </row>
    <row r="7944" spans="19:19">
      <c r="S7944" s="109"/>
    </row>
    <row r="7945" spans="19:19">
      <c r="S7945" s="109"/>
    </row>
    <row r="7946" spans="19:19">
      <c r="S7946" s="109"/>
    </row>
    <row r="7947" spans="19:19">
      <c r="S7947" s="109"/>
    </row>
    <row r="7948" spans="19:19">
      <c r="S7948" s="109"/>
    </row>
    <row r="7949" spans="19:19">
      <c r="S7949" s="109"/>
    </row>
    <row r="7950" spans="19:19">
      <c r="S7950" s="109"/>
    </row>
    <row r="7951" spans="19:19">
      <c r="S7951" s="109"/>
    </row>
    <row r="7952" spans="19:19">
      <c r="S7952" s="109"/>
    </row>
    <row r="7953" spans="19:19">
      <c r="S7953" s="109"/>
    </row>
    <row r="7954" spans="19:19">
      <c r="S7954" s="109"/>
    </row>
    <row r="7955" spans="19:19">
      <c r="S7955" s="109"/>
    </row>
    <row r="7956" spans="19:19">
      <c r="S7956" s="109"/>
    </row>
    <row r="7957" spans="19:19">
      <c r="S7957" s="109"/>
    </row>
    <row r="7958" spans="19:19">
      <c r="S7958" s="109"/>
    </row>
    <row r="7959" spans="19:19">
      <c r="S7959" s="109"/>
    </row>
    <row r="7960" spans="19:19">
      <c r="S7960" s="109"/>
    </row>
    <row r="7961" spans="19:19">
      <c r="S7961" s="109"/>
    </row>
    <row r="7962" spans="19:19">
      <c r="S7962" s="109"/>
    </row>
    <row r="7963" spans="19:19">
      <c r="S7963" s="109"/>
    </row>
    <row r="7964" spans="19:19">
      <c r="S7964" s="109"/>
    </row>
    <row r="7965" spans="19:19">
      <c r="S7965" s="109"/>
    </row>
    <row r="7966" spans="19:19">
      <c r="S7966" s="109"/>
    </row>
    <row r="7967" spans="19:19">
      <c r="S7967" s="109"/>
    </row>
    <row r="7968" spans="19:19">
      <c r="S7968" s="109"/>
    </row>
    <row r="7969" spans="19:19">
      <c r="S7969" s="109"/>
    </row>
    <row r="7970" spans="19:19">
      <c r="S7970" s="109"/>
    </row>
    <row r="7971" spans="19:19">
      <c r="S7971" s="109"/>
    </row>
    <row r="7972" spans="19:19">
      <c r="S7972" s="109"/>
    </row>
    <row r="7973" spans="19:19">
      <c r="S7973" s="109"/>
    </row>
    <row r="7974" spans="19:19">
      <c r="S7974" s="109"/>
    </row>
    <row r="7975" spans="19:19">
      <c r="S7975" s="109"/>
    </row>
    <row r="7976" spans="19:19">
      <c r="S7976" s="109"/>
    </row>
    <row r="7977" spans="19:19">
      <c r="S7977" s="109"/>
    </row>
    <row r="7978" spans="19:19">
      <c r="S7978" s="109"/>
    </row>
    <row r="7979" spans="19:19">
      <c r="S7979" s="109"/>
    </row>
    <row r="7980" spans="19:19">
      <c r="S7980" s="109"/>
    </row>
    <row r="7981" spans="19:19">
      <c r="S7981" s="109"/>
    </row>
    <row r="7982" spans="19:19">
      <c r="S7982" s="109"/>
    </row>
    <row r="7983" spans="19:19">
      <c r="S7983" s="109"/>
    </row>
    <row r="7984" spans="19:19">
      <c r="S7984" s="109"/>
    </row>
    <row r="7985" spans="19:19">
      <c r="S7985" s="109"/>
    </row>
    <row r="7986" spans="19:19">
      <c r="S7986" s="109"/>
    </row>
    <row r="7987" spans="19:19">
      <c r="S7987" s="109"/>
    </row>
    <row r="7988" spans="19:19">
      <c r="S7988" s="109"/>
    </row>
    <row r="7989" spans="19:19">
      <c r="S7989" s="109"/>
    </row>
    <row r="7990" spans="19:19">
      <c r="S7990" s="109"/>
    </row>
    <row r="7991" spans="19:19">
      <c r="S7991" s="109"/>
    </row>
    <row r="7992" spans="19:19">
      <c r="S7992" s="109"/>
    </row>
    <row r="7993" spans="19:19">
      <c r="S7993" s="109"/>
    </row>
    <row r="7994" spans="19:19">
      <c r="S7994" s="109"/>
    </row>
    <row r="7995" spans="19:19">
      <c r="S7995" s="109"/>
    </row>
    <row r="7996" spans="19:19">
      <c r="S7996" s="109"/>
    </row>
    <row r="7997" spans="19:19">
      <c r="S7997" s="109"/>
    </row>
    <row r="7998" spans="19:19">
      <c r="S7998" s="109"/>
    </row>
    <row r="7999" spans="19:19">
      <c r="S7999" s="109"/>
    </row>
    <row r="8000" spans="19:19">
      <c r="S8000" s="109"/>
    </row>
    <row r="8001" spans="19:19">
      <c r="S8001" s="109"/>
    </row>
    <row r="8002" spans="19:19">
      <c r="S8002" s="109"/>
    </row>
    <row r="8003" spans="19:19">
      <c r="S8003" s="109"/>
    </row>
    <row r="8004" spans="19:19">
      <c r="S8004" s="109"/>
    </row>
    <row r="8005" spans="19:19">
      <c r="S8005" s="109"/>
    </row>
    <row r="8006" spans="19:19">
      <c r="S8006" s="109"/>
    </row>
    <row r="8007" spans="19:19">
      <c r="S8007" s="109"/>
    </row>
    <row r="8008" spans="19:19">
      <c r="S8008" s="109"/>
    </row>
    <row r="8009" spans="19:19">
      <c r="S8009" s="109"/>
    </row>
    <row r="8010" spans="19:19">
      <c r="S8010" s="109"/>
    </row>
    <row r="8011" spans="19:19">
      <c r="S8011" s="109"/>
    </row>
    <row r="8012" spans="19:19">
      <c r="S8012" s="109"/>
    </row>
    <row r="8013" spans="19:19">
      <c r="S8013" s="109"/>
    </row>
    <row r="8014" spans="19:19">
      <c r="S8014" s="109"/>
    </row>
    <row r="8015" spans="19:19">
      <c r="S8015" s="109"/>
    </row>
    <row r="8016" spans="19:19">
      <c r="S8016" s="109"/>
    </row>
    <row r="8017" spans="19:19">
      <c r="S8017" s="109"/>
    </row>
    <row r="8018" spans="19:19">
      <c r="S8018" s="109"/>
    </row>
    <row r="8019" spans="19:19">
      <c r="S8019" s="109"/>
    </row>
    <row r="8020" spans="19:19">
      <c r="S8020" s="109"/>
    </row>
    <row r="8021" spans="19:19">
      <c r="S8021" s="109"/>
    </row>
    <row r="8022" spans="19:19">
      <c r="S8022" s="109"/>
    </row>
    <row r="8023" spans="19:19">
      <c r="S8023" s="109"/>
    </row>
    <row r="8024" spans="19:19">
      <c r="S8024" s="109"/>
    </row>
    <row r="8025" spans="19:19">
      <c r="S8025" s="109"/>
    </row>
    <row r="8026" spans="19:19">
      <c r="S8026" s="109"/>
    </row>
    <row r="8027" spans="19:19">
      <c r="S8027" s="109"/>
    </row>
    <row r="8028" spans="19:19">
      <c r="S8028" s="109"/>
    </row>
    <row r="8029" spans="19:19">
      <c r="S8029" s="109"/>
    </row>
    <row r="8030" spans="19:19">
      <c r="S8030" s="109"/>
    </row>
    <row r="8031" spans="19:19">
      <c r="S8031" s="109"/>
    </row>
    <row r="8032" spans="19:19">
      <c r="S8032" s="109"/>
    </row>
    <row r="8033" spans="19:19">
      <c r="S8033" s="109"/>
    </row>
    <row r="8034" spans="19:19">
      <c r="S8034" s="109"/>
    </row>
    <row r="8035" spans="19:19">
      <c r="S8035" s="109"/>
    </row>
    <row r="8036" spans="19:19">
      <c r="S8036" s="109"/>
    </row>
    <row r="8037" spans="19:19">
      <c r="S8037" s="109"/>
    </row>
    <row r="8038" spans="19:19">
      <c r="S8038" s="109"/>
    </row>
    <row r="8039" spans="19:19">
      <c r="S8039" s="109"/>
    </row>
    <row r="8040" spans="19:19">
      <c r="S8040" s="109"/>
    </row>
    <row r="8041" spans="19:19">
      <c r="S8041" s="109"/>
    </row>
    <row r="8042" spans="19:19">
      <c r="S8042" s="109"/>
    </row>
    <row r="8043" spans="19:19">
      <c r="S8043" s="109"/>
    </row>
    <row r="8044" spans="19:19">
      <c r="S8044" s="109"/>
    </row>
    <row r="8045" spans="19:19">
      <c r="S8045" s="109"/>
    </row>
    <row r="8046" spans="19:19">
      <c r="S8046" s="109"/>
    </row>
    <row r="8047" spans="19:19">
      <c r="S8047" s="109"/>
    </row>
    <row r="8048" spans="19:19">
      <c r="S8048" s="109"/>
    </row>
    <row r="8049" spans="19:19">
      <c r="S8049" s="109"/>
    </row>
    <row r="8050" spans="19:19">
      <c r="S8050" s="109"/>
    </row>
    <row r="8051" spans="19:19">
      <c r="S8051" s="109"/>
    </row>
    <row r="8052" spans="19:19">
      <c r="S8052" s="109"/>
    </row>
    <row r="8053" spans="19:19">
      <c r="S8053" s="109"/>
    </row>
    <row r="8054" spans="19:19">
      <c r="S8054" s="109"/>
    </row>
    <row r="8055" spans="19:19">
      <c r="S8055" s="109"/>
    </row>
    <row r="8056" spans="19:19">
      <c r="S8056" s="109"/>
    </row>
    <row r="8057" spans="19:19">
      <c r="S8057" s="109"/>
    </row>
    <row r="8058" spans="19:19">
      <c r="S8058" s="109"/>
    </row>
    <row r="8059" spans="19:19">
      <c r="S8059" s="109"/>
    </row>
    <row r="8060" spans="19:19">
      <c r="S8060" s="109"/>
    </row>
    <row r="8061" spans="19:19">
      <c r="S8061" s="109"/>
    </row>
    <row r="8062" spans="19:19">
      <c r="S8062" s="109"/>
    </row>
    <row r="8063" spans="19:19">
      <c r="S8063" s="109"/>
    </row>
    <row r="8064" spans="19:19">
      <c r="S8064" s="109"/>
    </row>
    <row r="8065" spans="19:19">
      <c r="S8065" s="109"/>
    </row>
    <row r="8066" spans="19:19">
      <c r="S8066" s="109"/>
    </row>
    <row r="8067" spans="19:19">
      <c r="S8067" s="109"/>
    </row>
    <row r="8068" spans="19:19">
      <c r="S8068" s="109"/>
    </row>
    <row r="8069" spans="19:19">
      <c r="S8069" s="109"/>
    </row>
    <row r="8070" spans="19:19">
      <c r="S8070" s="109"/>
    </row>
    <row r="8071" spans="19:19">
      <c r="S8071" s="109"/>
    </row>
    <row r="8072" spans="19:19">
      <c r="S8072" s="109"/>
    </row>
    <row r="8073" spans="19:19">
      <c r="S8073" s="109"/>
    </row>
    <row r="8074" spans="19:19">
      <c r="S8074" s="109"/>
    </row>
    <row r="8075" spans="19:19">
      <c r="S8075" s="109"/>
    </row>
    <row r="8076" spans="19:19">
      <c r="S8076" s="109"/>
    </row>
    <row r="8077" spans="19:19">
      <c r="S8077" s="109"/>
    </row>
    <row r="8078" spans="19:19">
      <c r="S8078" s="109"/>
    </row>
    <row r="8079" spans="19:19">
      <c r="S8079" s="109"/>
    </row>
    <row r="8080" spans="19:19">
      <c r="S8080" s="109"/>
    </row>
    <row r="8081" spans="19:19">
      <c r="S8081" s="109"/>
    </row>
    <row r="8082" spans="19:19">
      <c r="S8082" s="109"/>
    </row>
    <row r="8083" spans="19:19">
      <c r="S8083" s="109"/>
    </row>
    <row r="8084" spans="19:19">
      <c r="S8084" s="109"/>
    </row>
    <row r="8085" spans="19:19">
      <c r="S8085" s="109"/>
    </row>
    <row r="8086" spans="19:19">
      <c r="S8086" s="109"/>
    </row>
    <row r="8087" spans="19:19">
      <c r="S8087" s="109"/>
    </row>
    <row r="8088" spans="19:19">
      <c r="S8088" s="109"/>
    </row>
    <row r="8089" spans="19:19">
      <c r="S8089" s="109"/>
    </row>
    <row r="8090" spans="19:19">
      <c r="S8090" s="109"/>
    </row>
    <row r="8091" spans="19:19">
      <c r="S8091" s="109"/>
    </row>
    <row r="8092" spans="19:19">
      <c r="S8092" s="109"/>
    </row>
    <row r="8093" spans="19:19">
      <c r="S8093" s="109"/>
    </row>
    <row r="8094" spans="19:19">
      <c r="S8094" s="109"/>
    </row>
    <row r="8095" spans="19:19">
      <c r="S8095" s="109"/>
    </row>
    <row r="8096" spans="19:19">
      <c r="S8096" s="109"/>
    </row>
    <row r="8097" spans="19:19">
      <c r="S8097" s="109"/>
    </row>
    <row r="8098" spans="19:19">
      <c r="S8098" s="109"/>
    </row>
    <row r="8099" spans="19:19">
      <c r="S8099" s="109"/>
    </row>
    <row r="8100" spans="19:19">
      <c r="S8100" s="109"/>
    </row>
    <row r="8101" spans="19:19">
      <c r="S8101" s="109"/>
    </row>
    <row r="8102" spans="19:19">
      <c r="S8102" s="109"/>
    </row>
    <row r="8103" spans="19:19">
      <c r="S8103" s="109"/>
    </row>
    <row r="8104" spans="19:19">
      <c r="S8104" s="109"/>
    </row>
    <row r="8105" spans="19:19">
      <c r="S8105" s="109"/>
    </row>
    <row r="8106" spans="19:19">
      <c r="S8106" s="109"/>
    </row>
    <row r="8107" spans="19:19">
      <c r="S8107" s="109"/>
    </row>
    <row r="8108" spans="19:19">
      <c r="S8108" s="109"/>
    </row>
    <row r="8109" spans="19:19">
      <c r="S8109" s="109"/>
    </row>
    <row r="8110" spans="19:19">
      <c r="S8110" s="109"/>
    </row>
    <row r="8111" spans="19:19">
      <c r="S8111" s="109"/>
    </row>
    <row r="8112" spans="19:19">
      <c r="S8112" s="109"/>
    </row>
    <row r="8113" spans="19:19">
      <c r="S8113" s="109"/>
    </row>
    <row r="8114" spans="19:19">
      <c r="S8114" s="109"/>
    </row>
    <row r="8115" spans="19:19">
      <c r="S8115" s="109"/>
    </row>
    <row r="8116" spans="19:19">
      <c r="S8116" s="109"/>
    </row>
    <row r="8117" spans="19:19">
      <c r="S8117" s="109"/>
    </row>
    <row r="8118" spans="19:19">
      <c r="S8118" s="109"/>
    </row>
    <row r="8119" spans="19:19">
      <c r="S8119" s="109"/>
    </row>
    <row r="8120" spans="19:19">
      <c r="S8120" s="109"/>
    </row>
    <row r="8121" spans="19:19">
      <c r="S8121" s="109"/>
    </row>
    <row r="8122" spans="19:19">
      <c r="S8122" s="109"/>
    </row>
    <row r="8123" spans="19:19">
      <c r="S8123" s="109"/>
    </row>
    <row r="8124" spans="19:19">
      <c r="S8124" s="109"/>
    </row>
    <row r="8125" spans="19:19">
      <c r="S8125" s="109"/>
    </row>
    <row r="8126" spans="19:19">
      <c r="S8126" s="109"/>
    </row>
    <row r="8127" spans="19:19">
      <c r="S8127" s="109"/>
    </row>
    <row r="8128" spans="19:19">
      <c r="S8128" s="109"/>
    </row>
    <row r="8129" spans="19:19">
      <c r="S8129" s="109"/>
    </row>
    <row r="8130" spans="19:19">
      <c r="S8130" s="109"/>
    </row>
    <row r="8131" spans="19:19">
      <c r="S8131" s="109"/>
    </row>
    <row r="8132" spans="19:19">
      <c r="S8132" s="109"/>
    </row>
    <row r="8133" spans="19:19">
      <c r="S8133" s="109"/>
    </row>
    <row r="8134" spans="19:19">
      <c r="S8134" s="109"/>
    </row>
    <row r="8135" spans="19:19">
      <c r="S8135" s="109"/>
    </row>
    <row r="8136" spans="19:19">
      <c r="S8136" s="109"/>
    </row>
    <row r="8137" spans="19:19">
      <c r="S8137" s="109"/>
    </row>
    <row r="8138" spans="19:19">
      <c r="S8138" s="109"/>
    </row>
    <row r="8139" spans="19:19">
      <c r="S8139" s="109"/>
    </row>
    <row r="8140" spans="19:19">
      <c r="S8140" s="109"/>
    </row>
    <row r="8141" spans="19:19">
      <c r="S8141" s="109"/>
    </row>
    <row r="8142" spans="19:19">
      <c r="S8142" s="109"/>
    </row>
    <row r="8143" spans="19:19">
      <c r="S8143" s="109"/>
    </row>
    <row r="8144" spans="19:19">
      <c r="S8144" s="109"/>
    </row>
    <row r="8145" spans="19:19">
      <c r="S8145" s="109"/>
    </row>
    <row r="8146" spans="19:19">
      <c r="S8146" s="109"/>
    </row>
    <row r="8147" spans="19:19">
      <c r="S8147" s="109"/>
    </row>
    <row r="8148" spans="19:19">
      <c r="S8148" s="109"/>
    </row>
    <row r="8149" spans="19:19">
      <c r="S8149" s="109"/>
    </row>
    <row r="8150" spans="19:19">
      <c r="S8150" s="109"/>
    </row>
    <row r="8151" spans="19:19">
      <c r="S8151" s="109"/>
    </row>
    <row r="8152" spans="19:19">
      <c r="S8152" s="109"/>
    </row>
    <row r="8153" spans="19:19">
      <c r="S8153" s="109"/>
    </row>
    <row r="8154" spans="19:19">
      <c r="S8154" s="109"/>
    </row>
    <row r="8155" spans="19:19">
      <c r="S8155" s="109"/>
    </row>
    <row r="8156" spans="19:19">
      <c r="S8156" s="109"/>
    </row>
    <row r="8157" spans="19:19">
      <c r="S8157" s="109"/>
    </row>
    <row r="8158" spans="19:19">
      <c r="S8158" s="109"/>
    </row>
    <row r="8159" spans="19:19">
      <c r="S8159" s="109"/>
    </row>
    <row r="8160" spans="19:19">
      <c r="S8160" s="109"/>
    </row>
    <row r="8161" spans="19:19">
      <c r="S8161" s="109"/>
    </row>
    <row r="8162" spans="19:19">
      <c r="S8162" s="109"/>
    </row>
    <row r="8163" spans="19:19">
      <c r="S8163" s="109"/>
    </row>
    <row r="8164" spans="19:19">
      <c r="S8164" s="109"/>
    </row>
    <row r="8165" spans="19:19">
      <c r="S8165" s="109"/>
    </row>
    <row r="8166" spans="19:19">
      <c r="S8166" s="109"/>
    </row>
    <row r="8167" spans="19:19">
      <c r="S8167" s="109"/>
    </row>
    <row r="8168" spans="19:19">
      <c r="S8168" s="109"/>
    </row>
    <row r="8169" spans="19:19">
      <c r="S8169" s="109"/>
    </row>
    <row r="8170" spans="19:19">
      <c r="S8170" s="109"/>
    </row>
    <row r="8171" spans="19:19">
      <c r="S8171" s="109"/>
    </row>
    <row r="8172" spans="19:19">
      <c r="S8172" s="109"/>
    </row>
    <row r="8173" spans="19:19">
      <c r="S8173" s="109"/>
    </row>
    <row r="8174" spans="19:19">
      <c r="S8174" s="109"/>
    </row>
    <row r="8175" spans="19:19">
      <c r="S8175" s="109"/>
    </row>
    <row r="8176" spans="19:19">
      <c r="S8176" s="109"/>
    </row>
    <row r="8177" spans="19:19">
      <c r="S8177" s="109"/>
    </row>
    <row r="8178" spans="19:19">
      <c r="S8178" s="109"/>
    </row>
    <row r="8179" spans="19:19">
      <c r="S8179" s="109"/>
    </row>
    <row r="8180" spans="19:19">
      <c r="S8180" s="109"/>
    </row>
    <row r="8181" spans="19:19">
      <c r="S8181" s="109"/>
    </row>
    <row r="8182" spans="19:19">
      <c r="S8182" s="109"/>
    </row>
    <row r="8183" spans="19:19">
      <c r="S8183" s="109"/>
    </row>
    <row r="8184" spans="19:19">
      <c r="S8184" s="109"/>
    </row>
    <row r="8185" spans="19:19">
      <c r="S8185" s="109"/>
    </row>
    <row r="8186" spans="19:19">
      <c r="S8186" s="109"/>
    </row>
    <row r="8187" spans="19:19">
      <c r="S8187" s="109"/>
    </row>
    <row r="8188" spans="19:19">
      <c r="S8188" s="109"/>
    </row>
    <row r="8189" spans="19:19">
      <c r="S8189" s="109"/>
    </row>
    <row r="8190" spans="19:19">
      <c r="S8190" s="109"/>
    </row>
    <row r="8191" spans="19:19">
      <c r="S8191" s="109"/>
    </row>
    <row r="8192" spans="19:19">
      <c r="S8192" s="109"/>
    </row>
    <row r="8193" spans="19:19">
      <c r="S8193" s="109"/>
    </row>
    <row r="8194" spans="19:19">
      <c r="S8194" s="109"/>
    </row>
    <row r="8195" spans="19:19">
      <c r="S8195" s="109"/>
    </row>
    <row r="8196" spans="19:19">
      <c r="S8196" s="109"/>
    </row>
    <row r="8197" spans="19:19">
      <c r="S8197" s="109"/>
    </row>
    <row r="8198" spans="19:19">
      <c r="S8198" s="109"/>
    </row>
    <row r="8199" spans="19:19">
      <c r="S8199" s="109"/>
    </row>
    <row r="8200" spans="19:19">
      <c r="S8200" s="109"/>
    </row>
    <row r="8201" spans="19:19">
      <c r="S8201" s="109"/>
    </row>
    <row r="8202" spans="19:19">
      <c r="S8202" s="109"/>
    </row>
    <row r="8203" spans="19:19">
      <c r="S8203" s="109"/>
    </row>
    <row r="8204" spans="19:19">
      <c r="S8204" s="109"/>
    </row>
    <row r="8205" spans="19:19">
      <c r="S8205" s="109"/>
    </row>
    <row r="8206" spans="19:19">
      <c r="S8206" s="109"/>
    </row>
    <row r="8207" spans="19:19">
      <c r="S8207" s="109"/>
    </row>
    <row r="8208" spans="19:19">
      <c r="S8208" s="109"/>
    </row>
    <row r="8209" spans="19:19">
      <c r="S8209" s="109"/>
    </row>
    <row r="8210" spans="19:19">
      <c r="S8210" s="109"/>
    </row>
    <row r="8211" spans="19:19">
      <c r="S8211" s="109"/>
    </row>
    <row r="8212" spans="19:19">
      <c r="S8212" s="109"/>
    </row>
    <row r="8213" spans="19:19">
      <c r="S8213" s="109"/>
    </row>
    <row r="8214" spans="19:19">
      <c r="S8214" s="109"/>
    </row>
    <row r="8215" spans="19:19">
      <c r="S8215" s="109"/>
    </row>
    <row r="8216" spans="19:19">
      <c r="S8216" s="109"/>
    </row>
    <row r="8217" spans="19:19">
      <c r="S8217" s="109"/>
    </row>
    <row r="8218" spans="19:19">
      <c r="S8218" s="109"/>
    </row>
    <row r="8219" spans="19:19">
      <c r="S8219" s="109"/>
    </row>
    <row r="8220" spans="19:19">
      <c r="S8220" s="109"/>
    </row>
    <row r="8221" spans="19:19">
      <c r="S8221" s="109"/>
    </row>
    <row r="8222" spans="19:19">
      <c r="S8222" s="109"/>
    </row>
    <row r="8223" spans="19:19">
      <c r="S8223" s="109"/>
    </row>
    <row r="8224" spans="19:19">
      <c r="S8224" s="109"/>
    </row>
    <row r="8225" spans="19:19">
      <c r="S8225" s="109"/>
    </row>
    <row r="8226" spans="19:19">
      <c r="S8226" s="109"/>
    </row>
    <row r="8227" spans="19:19">
      <c r="S8227" s="109"/>
    </row>
    <row r="8228" spans="19:19">
      <c r="S8228" s="109"/>
    </row>
    <row r="8229" spans="19:19">
      <c r="S8229" s="109"/>
    </row>
    <row r="8230" spans="19:19">
      <c r="S8230" s="109"/>
    </row>
    <row r="8231" spans="19:19">
      <c r="S8231" s="109"/>
    </row>
    <row r="8232" spans="19:19">
      <c r="S8232" s="109"/>
    </row>
    <row r="8233" spans="19:19">
      <c r="S8233" s="109"/>
    </row>
    <row r="8234" spans="19:19">
      <c r="S8234" s="109"/>
    </row>
    <row r="8235" spans="19:19">
      <c r="S8235" s="109"/>
    </row>
    <row r="8236" spans="19:19">
      <c r="S8236" s="109"/>
    </row>
    <row r="8237" spans="19:19">
      <c r="S8237" s="109"/>
    </row>
    <row r="8238" spans="19:19">
      <c r="S8238" s="109"/>
    </row>
    <row r="8239" spans="19:19">
      <c r="S8239" s="109"/>
    </row>
    <row r="8240" spans="19:19">
      <c r="S8240" s="109"/>
    </row>
    <row r="8241" spans="19:19">
      <c r="S8241" s="109"/>
    </row>
    <row r="8242" spans="19:19">
      <c r="S8242" s="109"/>
    </row>
    <row r="8243" spans="19:19">
      <c r="S8243" s="109"/>
    </row>
    <row r="8244" spans="19:19">
      <c r="S8244" s="109"/>
    </row>
    <row r="8245" spans="19:19">
      <c r="S8245" s="109"/>
    </row>
    <row r="8246" spans="19:19">
      <c r="S8246" s="109"/>
    </row>
    <row r="8247" spans="19:19">
      <c r="S8247" s="109"/>
    </row>
    <row r="8248" spans="19:19">
      <c r="S8248" s="109"/>
    </row>
    <row r="8249" spans="19:19">
      <c r="S8249" s="109"/>
    </row>
    <row r="8250" spans="19:19">
      <c r="S8250" s="109"/>
    </row>
    <row r="8251" spans="19:19">
      <c r="S8251" s="109"/>
    </row>
    <row r="8252" spans="19:19">
      <c r="S8252" s="109"/>
    </row>
    <row r="8253" spans="19:19">
      <c r="S8253" s="109"/>
    </row>
    <row r="8254" spans="19:19">
      <c r="S8254" s="109"/>
    </row>
    <row r="8255" spans="19:19">
      <c r="S8255" s="109"/>
    </row>
    <row r="8256" spans="19:19">
      <c r="S8256" s="109"/>
    </row>
    <row r="8257" spans="19:19">
      <c r="S8257" s="109"/>
    </row>
    <row r="8258" spans="19:19">
      <c r="S8258" s="109"/>
    </row>
    <row r="8259" spans="19:19">
      <c r="S8259" s="109"/>
    </row>
    <row r="8260" spans="19:19">
      <c r="S8260" s="109"/>
    </row>
    <row r="8261" spans="19:19">
      <c r="S8261" s="109"/>
    </row>
    <row r="8262" spans="19:19">
      <c r="S8262" s="109"/>
    </row>
    <row r="8263" spans="19:19">
      <c r="S8263" s="109"/>
    </row>
    <row r="8264" spans="19:19">
      <c r="S8264" s="109"/>
    </row>
    <row r="8265" spans="19:19">
      <c r="S8265" s="109"/>
    </row>
    <row r="8266" spans="19:19">
      <c r="S8266" s="109"/>
    </row>
    <row r="8267" spans="19:19">
      <c r="S8267" s="109"/>
    </row>
    <row r="8268" spans="19:19">
      <c r="S8268" s="109"/>
    </row>
    <row r="8269" spans="19:19">
      <c r="S8269" s="109"/>
    </row>
    <row r="8270" spans="19:19">
      <c r="S8270" s="109"/>
    </row>
    <row r="8271" spans="19:19">
      <c r="S8271" s="109"/>
    </row>
    <row r="8272" spans="19:19">
      <c r="S8272" s="109"/>
    </row>
    <row r="8273" spans="19:19">
      <c r="S8273" s="109"/>
    </row>
    <row r="8274" spans="19:19">
      <c r="S8274" s="109"/>
    </row>
    <row r="8275" spans="19:19">
      <c r="S8275" s="109"/>
    </row>
    <row r="8276" spans="19:19">
      <c r="S8276" s="109"/>
    </row>
    <row r="8277" spans="19:19">
      <c r="S8277" s="109"/>
    </row>
    <row r="8278" spans="19:19">
      <c r="S8278" s="109"/>
    </row>
    <row r="8279" spans="19:19">
      <c r="S8279" s="109"/>
    </row>
    <row r="8280" spans="19:19">
      <c r="S8280" s="109"/>
    </row>
    <row r="8281" spans="19:19">
      <c r="S8281" s="109"/>
    </row>
    <row r="8282" spans="19:19">
      <c r="S8282" s="109"/>
    </row>
    <row r="8283" spans="19:19">
      <c r="S8283" s="109"/>
    </row>
    <row r="8284" spans="19:19">
      <c r="S8284" s="109"/>
    </row>
    <row r="8285" spans="19:19">
      <c r="S8285" s="109"/>
    </row>
    <row r="8286" spans="19:19">
      <c r="S8286" s="109"/>
    </row>
    <row r="8287" spans="19:19">
      <c r="S8287" s="109"/>
    </row>
    <row r="8288" spans="19:19">
      <c r="S8288" s="109"/>
    </row>
    <row r="8289" spans="19:19">
      <c r="S8289" s="109"/>
    </row>
    <row r="8290" spans="19:19">
      <c r="S8290" s="109"/>
    </row>
    <row r="8291" spans="19:19">
      <c r="S8291" s="109"/>
    </row>
    <row r="8292" spans="19:19">
      <c r="S8292" s="109"/>
    </row>
    <row r="8293" spans="19:19">
      <c r="S8293" s="109"/>
    </row>
    <row r="8294" spans="19:19">
      <c r="S8294" s="109"/>
    </row>
    <row r="8295" spans="19:19">
      <c r="S8295" s="109"/>
    </row>
    <row r="8296" spans="19:19">
      <c r="S8296" s="109"/>
    </row>
    <row r="8297" spans="19:19">
      <c r="S8297" s="109"/>
    </row>
    <row r="8298" spans="19:19">
      <c r="S8298" s="109"/>
    </row>
    <row r="8299" spans="19:19">
      <c r="S8299" s="109"/>
    </row>
    <row r="8300" spans="19:19">
      <c r="S8300" s="109"/>
    </row>
    <row r="8301" spans="19:19">
      <c r="S8301" s="109"/>
    </row>
    <row r="8302" spans="19:19">
      <c r="S8302" s="109"/>
    </row>
    <row r="8303" spans="19:19">
      <c r="S8303" s="109"/>
    </row>
    <row r="8304" spans="19:19">
      <c r="S8304" s="109"/>
    </row>
    <row r="8305" spans="19:19">
      <c r="S8305" s="109"/>
    </row>
    <row r="8306" spans="19:19">
      <c r="S8306" s="109"/>
    </row>
    <row r="8307" spans="19:19">
      <c r="S8307" s="109"/>
    </row>
    <row r="8308" spans="19:19">
      <c r="S8308" s="109"/>
    </row>
    <row r="8309" spans="19:19">
      <c r="S8309" s="109"/>
    </row>
    <row r="8310" spans="19:19">
      <c r="S8310" s="109"/>
    </row>
    <row r="8311" spans="19:19">
      <c r="S8311" s="109"/>
    </row>
    <row r="8312" spans="19:19">
      <c r="S8312" s="109"/>
    </row>
    <row r="8313" spans="19:19">
      <c r="S8313" s="109"/>
    </row>
    <row r="8314" spans="19:19">
      <c r="S8314" s="109"/>
    </row>
    <row r="8315" spans="19:19">
      <c r="S8315" s="109"/>
    </row>
    <row r="8316" spans="19:19">
      <c r="S8316" s="109"/>
    </row>
    <row r="8317" spans="19:19">
      <c r="S8317" s="109"/>
    </row>
    <row r="8318" spans="19:19">
      <c r="S8318" s="109"/>
    </row>
    <row r="8319" spans="19:19">
      <c r="S8319" s="109"/>
    </row>
    <row r="8320" spans="19:19">
      <c r="S8320" s="109"/>
    </row>
    <row r="8321" spans="19:19">
      <c r="S8321" s="109"/>
    </row>
    <row r="8322" spans="19:19">
      <c r="S8322" s="109"/>
    </row>
    <row r="8323" spans="19:19">
      <c r="S8323" s="109"/>
    </row>
    <row r="8324" spans="19:19">
      <c r="S8324" s="109"/>
    </row>
    <row r="8325" spans="19:19">
      <c r="S8325" s="109"/>
    </row>
    <row r="8326" spans="19:19">
      <c r="S8326" s="109"/>
    </row>
    <row r="8327" spans="19:19">
      <c r="S8327" s="109"/>
    </row>
    <row r="8328" spans="19:19">
      <c r="S8328" s="109"/>
    </row>
    <row r="8329" spans="19:19">
      <c r="S8329" s="109"/>
    </row>
    <row r="8330" spans="19:19">
      <c r="S8330" s="109"/>
    </row>
    <row r="8331" spans="19:19">
      <c r="S8331" s="109"/>
    </row>
    <row r="8332" spans="19:19">
      <c r="S8332" s="109"/>
    </row>
    <row r="8333" spans="19:19">
      <c r="S8333" s="109"/>
    </row>
    <row r="8334" spans="19:19">
      <c r="S8334" s="109"/>
    </row>
    <row r="8335" spans="19:19">
      <c r="S8335" s="109"/>
    </row>
    <row r="8336" spans="19:19">
      <c r="S8336" s="109"/>
    </row>
    <row r="8337" spans="19:19">
      <c r="S8337" s="109"/>
    </row>
    <row r="8338" spans="19:19">
      <c r="S8338" s="109"/>
    </row>
    <row r="8339" spans="19:19">
      <c r="S8339" s="109"/>
    </row>
    <row r="8340" spans="19:19">
      <c r="S8340" s="109"/>
    </row>
    <row r="8341" spans="19:19">
      <c r="S8341" s="109"/>
    </row>
    <row r="8342" spans="19:19">
      <c r="S8342" s="109"/>
    </row>
    <row r="8343" spans="19:19">
      <c r="S8343" s="109"/>
    </row>
    <row r="8344" spans="19:19">
      <c r="S8344" s="109"/>
    </row>
    <row r="8345" spans="19:19">
      <c r="S8345" s="109"/>
    </row>
    <row r="8346" spans="19:19">
      <c r="S8346" s="109"/>
    </row>
    <row r="8347" spans="19:19">
      <c r="S8347" s="109"/>
    </row>
    <row r="8348" spans="19:19">
      <c r="S8348" s="109"/>
    </row>
    <row r="8349" spans="19:19">
      <c r="S8349" s="109"/>
    </row>
    <row r="8350" spans="19:19">
      <c r="S8350" s="109"/>
    </row>
    <row r="8351" spans="19:19">
      <c r="S8351" s="109"/>
    </row>
    <row r="8352" spans="19:19">
      <c r="S8352" s="109"/>
    </row>
    <row r="8353" spans="19:19">
      <c r="S8353" s="109"/>
    </row>
    <row r="8354" spans="19:19">
      <c r="S8354" s="109"/>
    </row>
    <row r="8355" spans="19:19">
      <c r="S8355" s="109"/>
    </row>
    <row r="8356" spans="19:19">
      <c r="S8356" s="109"/>
    </row>
    <row r="8357" spans="19:19">
      <c r="S8357" s="109"/>
    </row>
    <row r="8358" spans="19:19">
      <c r="S8358" s="109"/>
    </row>
    <row r="8359" spans="19:19">
      <c r="S8359" s="109"/>
    </row>
    <row r="8360" spans="19:19">
      <c r="S8360" s="109"/>
    </row>
    <row r="8361" spans="19:19">
      <c r="S8361" s="109"/>
    </row>
    <row r="8362" spans="19:19">
      <c r="S8362" s="109"/>
    </row>
    <row r="8363" spans="19:19">
      <c r="S8363" s="109"/>
    </row>
    <row r="8364" spans="19:19">
      <c r="S8364" s="109"/>
    </row>
    <row r="8365" spans="19:19">
      <c r="S8365" s="109"/>
    </row>
    <row r="8366" spans="19:19">
      <c r="S8366" s="109"/>
    </row>
    <row r="8367" spans="19:19">
      <c r="S8367" s="109"/>
    </row>
    <row r="8368" spans="19:19">
      <c r="S8368" s="109"/>
    </row>
    <row r="8369" spans="19:19">
      <c r="S8369" s="109"/>
    </row>
    <row r="8370" spans="19:19">
      <c r="S8370" s="109"/>
    </row>
    <row r="8371" spans="19:19">
      <c r="S8371" s="109"/>
    </row>
    <row r="8372" spans="19:19">
      <c r="S8372" s="109"/>
    </row>
    <row r="8373" spans="19:19">
      <c r="S8373" s="109"/>
    </row>
    <row r="8374" spans="19:19">
      <c r="S8374" s="109"/>
    </row>
    <row r="8375" spans="19:19">
      <c r="S8375" s="109"/>
    </row>
    <row r="8376" spans="19:19">
      <c r="S8376" s="109"/>
    </row>
    <row r="8377" spans="19:19">
      <c r="S8377" s="109"/>
    </row>
    <row r="8378" spans="19:19">
      <c r="S8378" s="109"/>
    </row>
    <row r="8379" spans="19:19">
      <c r="S8379" s="109"/>
    </row>
    <row r="8380" spans="19:19">
      <c r="S8380" s="109"/>
    </row>
    <row r="8381" spans="19:19">
      <c r="S8381" s="109"/>
    </row>
    <row r="8382" spans="19:19">
      <c r="S8382" s="109"/>
    </row>
    <row r="8383" spans="19:19">
      <c r="S8383" s="109"/>
    </row>
    <row r="8384" spans="19:19">
      <c r="S8384" s="109"/>
    </row>
    <row r="8385" spans="19:19">
      <c r="S8385" s="109"/>
    </row>
    <row r="8386" spans="19:19">
      <c r="S8386" s="109"/>
    </row>
    <row r="8387" spans="19:19">
      <c r="S8387" s="109"/>
    </row>
    <row r="8388" spans="19:19">
      <c r="S8388" s="109"/>
    </row>
    <row r="8389" spans="19:19">
      <c r="S8389" s="109"/>
    </row>
    <row r="8390" spans="19:19">
      <c r="S8390" s="109"/>
    </row>
    <row r="8391" spans="19:19">
      <c r="S8391" s="109"/>
    </row>
    <row r="8392" spans="19:19">
      <c r="S8392" s="109"/>
    </row>
    <row r="8393" spans="19:19">
      <c r="S8393" s="109"/>
    </row>
    <row r="8394" spans="19:19">
      <c r="S8394" s="109"/>
    </row>
  </sheetData>
  <sheetProtection selectLockedCells="1"/>
  <protectedRanges>
    <protectedRange sqref="AD36" name="Service"/>
  </protectedRanges>
  <sortState xmlns:xlrd2="http://schemas.microsoft.com/office/spreadsheetml/2017/richdata2" ref="AQ5:AR10">
    <sortCondition ref="AQ5:AQ10"/>
  </sortState>
  <dataConsolidate/>
  <mergeCells count="3">
    <mergeCell ref="G3:T3"/>
    <mergeCell ref="Z3:AE3"/>
    <mergeCell ref="AK3:AR3"/>
  </mergeCells>
  <phoneticPr fontId="14" type="noConversion"/>
  <dataValidations count="4">
    <dataValidation type="whole" allowBlank="1" showInputMessage="1" showErrorMessage="1" sqref="L5:L6 L9:L21" xr:uid="{C3072338-304B-4FAF-BE03-92EB213E5E72}">
      <formula1>1111111111111</formula1>
      <formula2>9999999999999</formula2>
    </dataValidation>
    <dataValidation type="list" allowBlank="1" showInputMessage="1" showErrorMessage="1" sqref="M5:M21" xr:uid="{43900AF3-1EFD-44B5-BBFA-3E5072D15FD1}">
      <formula1>$AK$5:$AK$8</formula1>
    </dataValidation>
    <dataValidation type="list" allowBlank="1" showInputMessage="1" showErrorMessage="1" sqref="K5:K21" xr:uid="{36B15D72-5946-4C67-BF23-1BE8285AB665}">
      <formula1>$AQ$5:$AQ$24</formula1>
    </dataValidation>
    <dataValidation type="list" allowBlank="1" showInputMessage="1" showErrorMessage="1" sqref="J5:J21" xr:uid="{0AF5A7C6-438D-4A7F-A785-0AC2C97039E7}">
      <formula1>$AN$5:$AN$102</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AD1C-8409-4B01-8191-C09BDFB9B7B5}">
  <sheetPr>
    <tabColor theme="7"/>
  </sheetPr>
  <dimension ref="E1:AC19"/>
  <sheetViews>
    <sheetView showGridLines="0" zoomScaleNormal="100" workbookViewId="0"/>
  </sheetViews>
  <sheetFormatPr defaultRowHeight="15"/>
  <cols>
    <col min="3" max="3" width="12.140625" customWidth="1"/>
    <col min="4" max="4" width="11.85546875" customWidth="1"/>
    <col min="5" max="5" width="16.5703125" customWidth="1"/>
    <col min="6" max="6" width="32" customWidth="1"/>
    <col min="7" max="7" width="27" customWidth="1"/>
    <col min="8" max="10" width="14.7109375" style="9" customWidth="1"/>
  </cols>
  <sheetData>
    <row r="1" spans="5:29" s="6" customFormat="1" ht="48.75" customHeight="1">
      <c r="E1" s="4" t="s">
        <v>203</v>
      </c>
      <c r="F1" s="5"/>
      <c r="G1" s="5"/>
      <c r="H1" s="19"/>
      <c r="I1" s="19"/>
      <c r="J1" s="19"/>
      <c r="K1" s="5"/>
      <c r="L1" s="5"/>
      <c r="M1" s="5"/>
      <c r="N1" s="5"/>
      <c r="O1" s="5"/>
      <c r="P1" s="5"/>
      <c r="Q1" s="5"/>
      <c r="R1" s="5"/>
      <c r="U1" s="5"/>
      <c r="V1" s="5"/>
      <c r="W1" s="5"/>
      <c r="X1" s="5"/>
      <c r="Y1" s="5"/>
      <c r="Z1" s="5"/>
      <c r="AC1" s="66"/>
    </row>
    <row r="4" spans="5:29" ht="15.75" thickBot="1"/>
    <row r="5" spans="5:29" ht="21.75" thickBot="1">
      <c r="E5" s="146" t="s">
        <v>204</v>
      </c>
      <c r="F5" s="147"/>
      <c r="G5" s="147"/>
      <c r="H5" s="147"/>
      <c r="I5" s="147"/>
      <c r="J5" s="147"/>
      <c r="K5" s="148"/>
      <c r="R5" s="76"/>
    </row>
    <row r="7" spans="5:29">
      <c r="E7" s="73" t="s">
        <v>4</v>
      </c>
      <c r="F7" s="73" t="s">
        <v>8</v>
      </c>
      <c r="G7" s="73" t="s">
        <v>15</v>
      </c>
      <c r="H7" s="74" t="s">
        <v>20</v>
      </c>
      <c r="I7" s="74" t="s">
        <v>23</v>
      </c>
      <c r="J7" s="74" t="s">
        <v>205</v>
      </c>
      <c r="K7" s="74" t="s">
        <v>206</v>
      </c>
    </row>
    <row r="9" spans="5:29">
      <c r="E9" t="str" cm="1">
        <f t="array" ref="E9:K17">_xlfn._xlws.SORT(_xlfn._xlws.FILTER(_xlfn.CHOOSECOLS(ProductData[],1,3,7,10,13,14,15),ProductData[Qty on Hand]&lt;ProductData[Reorder Point],""))</f>
        <v>AB179524</v>
      </c>
      <c r="F9" t="str">
        <v>Galvanized Nail 50 mm</v>
      </c>
      <c r="G9" t="str">
        <v>ProBuild Hardware Co.</v>
      </c>
      <c r="H9" s="9">
        <v>18</v>
      </c>
      <c r="I9" s="9">
        <v>25</v>
      </c>
      <c r="J9" s="9">
        <v>7</v>
      </c>
      <c r="K9" s="17">
        <v>2.0299999999999998</v>
      </c>
    </row>
    <row r="10" spans="5:29">
      <c r="E10" t="str">
        <v>AB194875</v>
      </c>
      <c r="F10" t="str">
        <v>Copper Pipe Clamp ½ inch</v>
      </c>
      <c r="G10" t="str">
        <v>ProBuild Hardware Co.</v>
      </c>
      <c r="H10" s="9">
        <v>19</v>
      </c>
      <c r="I10" s="9">
        <v>25</v>
      </c>
      <c r="J10" s="9">
        <v>6</v>
      </c>
      <c r="K10" s="17">
        <v>19.5</v>
      </c>
    </row>
    <row r="11" spans="5:29">
      <c r="E11" t="str">
        <v>AB472915</v>
      </c>
      <c r="F11" t="str">
        <v>Stainless Steel Bolt M8 × 25 mm</v>
      </c>
      <c r="G11" t="str">
        <v>ProBuild Hardware Co.</v>
      </c>
      <c r="H11" s="9">
        <v>-16</v>
      </c>
      <c r="I11" s="9">
        <v>10</v>
      </c>
      <c r="J11" s="9">
        <v>26</v>
      </c>
      <c r="K11" s="17">
        <v>68.899999999999991</v>
      </c>
    </row>
    <row r="12" spans="5:29">
      <c r="E12" t="str">
        <v>BA806491</v>
      </c>
      <c r="F12" t="str">
        <v>Plastic End Cap 20 mm</v>
      </c>
      <c r="G12" t="str">
        <v>ProBuild Hardware Co.</v>
      </c>
      <c r="H12" s="9">
        <v>20</v>
      </c>
      <c r="I12" s="9">
        <v>25</v>
      </c>
      <c r="J12" s="9">
        <v>5</v>
      </c>
      <c r="K12" s="17">
        <v>5.15</v>
      </c>
    </row>
    <row r="13" spans="5:29">
      <c r="E13" t="str">
        <v>GH725940</v>
      </c>
      <c r="F13" t="str">
        <v>Zinc Screw Phillips #6 × 1 in</v>
      </c>
      <c r="G13" t="str">
        <v>ProBuild Hardware Co.</v>
      </c>
      <c r="H13" s="9">
        <v>-32</v>
      </c>
      <c r="I13" s="9">
        <v>5</v>
      </c>
      <c r="J13" s="9">
        <v>37</v>
      </c>
      <c r="K13" s="17">
        <v>249.75</v>
      </c>
    </row>
    <row r="14" spans="5:29">
      <c r="E14" t="str">
        <v>LM307618</v>
      </c>
      <c r="F14" t="str">
        <v>Steel Bracket L-Shape</v>
      </c>
      <c r="G14" t="str">
        <v>AlphaTech Metal Products</v>
      </c>
      <c r="H14" s="9">
        <v>-17</v>
      </c>
      <c r="I14" s="9">
        <v>10</v>
      </c>
      <c r="J14" s="9">
        <v>27</v>
      </c>
      <c r="K14" s="17">
        <v>156.33000000000001</v>
      </c>
    </row>
    <row r="15" spans="5:29">
      <c r="E15" t="str">
        <v>NP864230</v>
      </c>
      <c r="F15" t="str">
        <v>Nylon Cable Tie 200 mm</v>
      </c>
      <c r="G15" t="str">
        <v>ProBuild Hardware Co.</v>
      </c>
      <c r="H15" s="9">
        <v>-51</v>
      </c>
      <c r="I15" s="9">
        <v>20</v>
      </c>
      <c r="J15" s="9">
        <v>71</v>
      </c>
      <c r="K15" s="17">
        <v>19.170000000000002</v>
      </c>
    </row>
    <row r="16" spans="5:29">
      <c r="E16" t="str">
        <v>SP851</v>
      </c>
      <c r="F16" t="str">
        <v>Plastic card scraper (large)</v>
      </c>
      <c r="G16" t="str">
        <v>AlphaTech Metal Products</v>
      </c>
      <c r="H16" s="9">
        <v>0</v>
      </c>
      <c r="I16" s="9">
        <v>10</v>
      </c>
      <c r="J16" s="9">
        <v>10</v>
      </c>
      <c r="K16" s="17">
        <v>14.5</v>
      </c>
    </row>
    <row r="17" spans="5:11">
      <c r="E17" t="str">
        <v>YZ541763</v>
      </c>
      <c r="F17" t="str">
        <v>Rubber Grommet 10 mm</v>
      </c>
      <c r="G17" t="str">
        <v>ProBuild Hardware Co.</v>
      </c>
      <c r="H17" s="9">
        <v>42</v>
      </c>
      <c r="I17" s="9">
        <v>70</v>
      </c>
      <c r="J17" s="9">
        <v>28</v>
      </c>
      <c r="K17" s="17">
        <v>20.72</v>
      </c>
    </row>
    <row r="18" spans="5:11">
      <c r="K18" s="17"/>
    </row>
    <row r="19" spans="5:11">
      <c r="K19" s="17"/>
    </row>
  </sheetData>
  <mergeCells count="1">
    <mergeCell ref="E5:K5"/>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L3XNQCWV5KMNG6NOH5E3TFD7DPQWERAU:ms-officescript%3A%2F%2Fonedrive_business_sharinglink%2Fu!aHR0cHM6Ly8zNjVtb3RoLW15LnNoYXJlcG9pbnQuY29tLzp1Oi9nL3BlcnNvbmFsL215bmRhX3RyZWFjeV9teW9ubGluZXRyYWluaW5naHViX2NvbS9FZFhxbU5ONXJqOUp1WlJfRy1GaVJCUUJkZGxRMURvQWRzXzB0SU9UT3lWRUxn"/>
  <scriptId xmlns="" id="ms-officescript%3A%2F%2Fonedrive_business_itemlink%2F015F7RNG4ORU3YREALTJCI6HBT7AOABB7E:ms-officescript%3A%2F%2Fonedrive_business_sharinglink%2Fu!aHR0cHM6Ly9xaW5jb25zdWx0aW5nY291ay1teS5zaGFyZXBvaW50LmNvbS86dTovZy9wZXJzb25hbC9uZWlsbWNkb25hbGRfcWluY29uc3VsdGluZ19jb191ay9FWTZOTjRpUUM1cEVqeHd6LUJ3QWgtUUI4eWxDSzlwUXJEU2xNZ3VlWWlaYzBB"/>
  <scriptId xmlns="" id="ms-officescript%3A%2F%2Fonedrive_business_itemlink%2F015F7RNG7NXCDSAQ2CJBB32JBKJFPCCCJO:ms-officescript%3A%2F%2Fonedrive_business_sharinglink%2Fu!aHR0cHM6Ly9xaW5jb25zdWx0aW5nY291ay1teS5zaGFyZXBvaW50LmNvbS86dTovZy9wZXJzb25hbC9uZWlsbWNkb25hbGRfcWluY29uc3VsdGluZ19jb191ay9FZTI0aHlCRFFraER2U1FxU1Y0aENTNEJ1YUFKNUJkRkdyUnlPSUczdDZ4dEJn"/>
  <scriptId xmlns="" id="ms-officescript%3A%2F%2Fonedrive_business_itemlink%2F015F7RNG42BZYJRLPCAZG2LEU5KN3HHFCV:ms-officescript%3A%2F%2Fonedrive_business_sharinglink%2Fu!aHR0cHM6Ly9xaW5jb25zdWx0aW5nY291ay1teS5zaGFyZXBvaW50LmNvbS86dTovZy9wZXJzb25hbC9uZWlsbWNkb25hbGRfcWluY29uc3VsdGluZ19jb191ay9FWm9PY0ppdDRnWk5wWktkVTNaemxGVUJ2ZDJNZGYzOFBETUhlaGowSlpGQk1n"/>
  <scriptId xmlns="" id="ms-officescript%3A%2F%2Fonedrive_business_itemlink%2F015F7RNGZTJXNQNNDYT5AKNOR3KZYGFXAF:ms-officescript%3A%2F%2Fonedrive_business_sharinglink%2Fu!aHR0cHM6Ly9xaW5jb25zdWx0aW5nY291ay1teS5zaGFyZXBvaW50LmNvbS86dTovZy9wZXJzb25hbC9uZWlsbWNkb25hbGRfcWluY29uc3VsdGluZ19jb191ay9FVE5OMndhMGVKOUFwcm83Vm5CaTNBVUJKS2FTeUsxSUtSRTBIVzkzRDI2VXp3"/>
  <scriptId xmlns="" id="ms-officescript%3A%2F%2Fonedrive_business_itemlink%2F015F7RNGZ5VO57R66ZPJC25ZMUCWFDZNBP:ms-officescript%3A%2F%2Fonedrive_business_sharinglink%2Fu!aHR0cHM6Ly9xaW5jb25zdWx0aW5nY291ay1teS5zaGFyZXBvaW50LmNvbS86dTovZy9wZXJzb25hbC9uZWlsbWNkb25hbGRfcWluY29uc3VsdGluZ19jb191ay9FVDJydV9qNzJYcEZydVdVRllvOHRDOEIxQlZhMkM1RnFxZFMyem5CRkxZTjh3"/>
  <scriptId xmlns="" id="ms-officescript%3A%2F%2Fonedrive_business_itemlink%2F015F7RNG6PJUREZLW7UVDZSB6DZXJTVHHE:ms-officescript%3A%2F%2Fonedrive_business_sharinglink%2Fu!aHR0cHM6Ly9xaW5jb25zdWx0aW5nY291ay1teS5zaGFyZXBvaW50LmNvbS86dTovZy9wZXJzb25hbC9uZWlsbWNkb25hbGRfcWluY29uc3VsdGluZ19jb191ay9FYzlOSWt5dTM2VkhtUWZEemRNNm5PUUJoWU52bUpaWFBscDh0empFVW9Hb2xR"/>
  <scriptId xmlns="" id="ms-officescript%3A%2F%2Fonedrive_business_itemlink%2F015F7RNG6XZFERCMLJMJGZTJSXQFUGXVPW:ms-officescript%3A%2F%2Fonedrive_business_sharinglink%2Fu!aHR0cHM6Ly9xaW5jb25zdWx0aW5nY291ay1teS5zaGFyZXBvaW50LmNvbS86dTovZy9wZXJzb25hbC9uZWlsbWNkb25hbGRfcWluY29uc3VsdGluZ19jb191ay9FZGZKU1JFeGFXSk5tYVpYZ1docjFmWUJsSTVRUTJyLTRkUVBuX2VuUW5OTjVn"/>
  <scriptId xmlns="" id="ms-officescript%3A%2F%2Fonedrive_business_itemlink%2F015F7RNG32IMKRMNSRNVAZ7OWKAARIXHAP:ms-officescript%3A%2F%2Fonedrive_business_sharinglink%2Fu!aHR0cHM6Ly9xaW5jb25zdWx0aW5nY291ay1teS5zaGFyZXBvaW50LmNvbS86dTovZy9wZXJzb25hbC9uZWlsbWNkb25hbGRfcWluY29uc3VsdGluZ19jb191ay9JUUI2UXhVV05sRnRRWi02eWdBaWk1d1BBVXNTVE1RRkJzLVlzbUtVRjE1V2F0TQ"/>
  <scriptId xmlns="" id="ms-officescript%3A%2F%2Fonedrive_business_itemlink%2F015F7RNGZ6L3AR57RY3RGLZRMFPNJK6CDZ:ms-officescript%3A%2F%2Fonedrive_business_sharinglink%2Fu!aHR0cHM6Ly9xaW5jb25zdWx0aW5nY291ay1teS5zaGFyZXBvaW50LmNvbS86dTovZy9wZXJzb25hbC9uZWlsbWNkb25hbGRfcWluY29uc3VsdGluZ19jb191ay9JUUEtWHNFZV9qamNUTHpGaFh0U3J3aDVBVk4xUEFMY2RXa2hBTTE2QkZHMFlVZw"/>
  <scriptId xmlns="" id="ms-officescript%3A%2F%2Fonedrive_business_itemlink%2F015F7RNG22QHUXAC5QP5CYHIK2GF4PCD23:ms-officescript%3A%2F%2Fonedrive_business_sharinglink%2Fu!aHR0cHM6Ly9xaW5jb25zdWx0aW5nY291ay1teS5zaGFyZXBvaW50LmNvbS86dTovZy9wZXJzb25hbC9uZWlsbWNkb25hbGRfcWluY29uc3VsdGluZ19jb191ay9JUUJhZ2Vsd0M3Ql9SWU9oV2pGNDhROWJBVFFOWERIQzNjQ2FndE5TbTVFQ0JIcw"/>
</scriptIds>
</file>

<file path=customXml/itemProps1.xml><?xml version="1.0" encoding="utf-8"?>
<ds:datastoreItem xmlns:ds="http://schemas.openxmlformats.org/officeDocument/2006/customXml" ds:itemID="{84B241E6-AE4C-4EA5-96CC-6E77ABF1BB4A}">
  <ds:schemaRefs>
    <ds:schemaRef ds:uri="http://schemas.microsoft.com/DataMashup"/>
  </ds:schemaRefs>
</ds:datastoreItem>
</file>

<file path=customXml/itemProps2.xml><?xml version="1.0" encoding="utf-8"?>
<ds:datastoreItem xmlns:ds="http://schemas.openxmlformats.org/officeDocument/2006/customXml" ds:itemID="{EF920529-7AF0-4602-BBCE-29D8185848E4}">
  <ds:schemaRefs>
    <ds:schemaRef ds:uri="http://schemas.microsoft.com/office/extensibility/maker/v1.0"/>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Home</vt:lpstr>
      <vt:lpstr>Product Form</vt:lpstr>
      <vt:lpstr>Database &amp; Calc</vt:lpstr>
      <vt:lpstr>Reports</vt:lpstr>
      <vt:lpstr>'Database &amp; Calc'!clients</vt:lpstr>
      <vt:lpstr>Home!clients</vt:lpstr>
      <vt:lpstr>clients</vt:lpstr>
      <vt:lpstr>'Product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2025-11-25T16:24:40Z</dcterms:created>
  <dcterms:modified xsi:type="dcterms:W3CDTF">2025-11-25T16:25:21Z</dcterms:modified>
  <cp:category/>
  <cp:contentStatus/>
</cp:coreProperties>
</file>